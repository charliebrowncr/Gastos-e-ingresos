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 e Ingresos" sheetId="1" r:id="rId4"/>
    <sheet state="visible" name="Gastos Diarios" sheetId="2" r:id="rId5"/>
    <sheet state="visible" name="Ingresos Diarios" sheetId="3" r:id="rId6"/>
    <sheet state="visible" name="Caja Efectivo" sheetId="4" r:id="rId7"/>
    <sheet state="visible" name="Arqueo y Resumen Caja" sheetId="5" r:id="rId8"/>
    <sheet state="visible" name="Utilidad y Posibles Gastos" sheetId="6" r:id="rId9"/>
    <sheet state="visible" name="Listas" sheetId="7" r:id="rId10"/>
  </sheets>
  <definedNames/>
  <calcPr/>
  <extLst>
    <ext uri="GoogleSheetsCustomDataVersion2">
      <go:sheetsCustomData xmlns:go="http://customooxmlschemas.google.com/" r:id="rId11" roundtripDataChecksum="6V9a0As5gOhDEuNlSNFY7QO+od08g2HpPzngzk87zAs="/>
    </ext>
  </extLst>
</workbook>
</file>

<file path=xl/sharedStrings.xml><?xml version="1.0" encoding="utf-8"?>
<sst xmlns="http://schemas.openxmlformats.org/spreadsheetml/2006/main" count="1405" uniqueCount="398">
  <si>
    <t>Canavida Villas &amp; Resort – Gastos e Ingresos</t>
  </si>
  <si>
    <t>Periodo: 5 de octubre al 31 de diciembre de 2026 · Moneda: USD · Todo se calcula desde las hojas de registro diario. · Control de efectivo en las hojas Caja Efectivo y Arqueo y Resumen Caja.</t>
  </si>
  <si>
    <t>Registro de Gastos Diarios</t>
  </si>
  <si>
    <t>Registro de Ingresos Diarios</t>
  </si>
  <si>
    <t>INGRESOS</t>
  </si>
  <si>
    <t>Caja Efectivo – Movimientos de Dinero en Efectivo</t>
  </si>
  <si>
    <t>Una fila por gasto desde la fila 6 (celdas en azul). Fecha entre 05/10/2026 y 31/12/2026; categoría y método se eligen de la lista.</t>
  </si>
  <si>
    <t>Una fila por cada entrada o salida de efectivo desde la fila 6 (celdas en azul). Anote cada movimiento el mismo día, en orden, con su comprobante. Las ventas y compras en efectivo se registran TAMBIÉN en Ingresos Diarios o Gastos Diarios; los retiros y depósitos de banco solo aquí.</t>
  </si>
  <si>
    <t>Una fila por ingreso desde la fila 6 (celdas en azul). Para hospedaje anote las noches vendidas (1 por villa por noche si registra día a día).  Columna H: cómo se cobró (si fue en Efectivo, anótelo también en la hoja Caja Efectivo).</t>
  </si>
  <si>
    <t>Mantenimiento y reparaciones</t>
  </si>
  <si>
    <t>Compra / pago en efectivo</t>
  </si>
  <si>
    <t>Salida</t>
  </si>
  <si>
    <t>Reserva #1024 – Familia Tremblay</t>
  </si>
  <si>
    <t>Compra de cloro para piscinas</t>
  </si>
  <si>
    <t>Airbnb</t>
  </si>
  <si>
    <t>Reparación bomba de piscina Villa Toucan</t>
  </si>
  <si>
    <t>Jardinería y piscinas</t>
  </si>
  <si>
    <t>Ferretería Uvita</t>
  </si>
  <si>
    <t>Toucan (3 hab)</t>
  </si>
  <si>
    <t>Transferencia / SINPE</t>
  </si>
  <si>
    <t>Mantenimiento</t>
  </si>
  <si>
    <t>Fact. 0012346</t>
  </si>
  <si>
    <t>CRC</t>
  </si>
  <si>
    <t>Fact. 0012345</t>
  </si>
  <si>
    <t>Tarjeta</t>
  </si>
  <si>
    <t>← Ejemplo (no se suma; puede borrarlo)</t>
  </si>
  <si>
    <t>Registros:</t>
  </si>
  <si>
    <t>Total</t>
  </si>
  <si>
    <t>% del total</t>
  </si>
  <si>
    <t>Cleaning Fee</t>
  </si>
  <si>
    <t>Saldo actual:</t>
  </si>
  <si>
    <t>TOTAL REGISTRADO</t>
  </si>
  <si>
    <t>Total noches | monto:</t>
  </si>
  <si>
    <t>Fecha</t>
  </si>
  <si>
    <t>Tipo de movimiento</t>
  </si>
  <si>
    <t>Dirección</t>
  </si>
  <si>
    <t>Descripción</t>
  </si>
  <si>
    <t>Categoría</t>
  </si>
  <si>
    <t>Villa / unidad</t>
  </si>
  <si>
    <t>Responsable</t>
  </si>
  <si>
    <t>Comprobante / factura</t>
  </si>
  <si>
    <t>Moneda</t>
  </si>
  <si>
    <t>Monto</t>
  </si>
  <si>
    <t>Tipo de cambio (₡ por $)</t>
  </si>
  <si>
    <t>Monto en USD</t>
  </si>
  <si>
    <t>Notas</t>
  </si>
  <si>
    <t>Venta / cobro en efectivo</t>
  </si>
  <si>
    <t>Proveedor</t>
  </si>
  <si>
    <t>Método de pago</t>
  </si>
  <si>
    <t>Monto (USD)</t>
  </si>
  <si>
    <t>Nº factura / Notas</t>
  </si>
  <si>
    <t>Luces de Piscina</t>
  </si>
  <si>
    <t>Zebol</t>
  </si>
  <si>
    <t>Pago en efectivo dolares</t>
  </si>
  <si>
    <t>Extra Guest Fee</t>
  </si>
  <si>
    <t>Colibri</t>
  </si>
  <si>
    <t>Carlos</t>
  </si>
  <si>
    <t>WA Grupo</t>
  </si>
  <si>
    <t>?</t>
  </si>
  <si>
    <t>USD</t>
  </si>
  <si>
    <t>Huésped / Reserva</t>
  </si>
  <si>
    <t>Canal</t>
  </si>
  <si>
    <t>Noches vendidas</t>
  </si>
  <si>
    <t>Suministros y amenities</t>
  </si>
  <si>
    <t>Email</t>
  </si>
  <si>
    <t>Articulos para habitaciones</t>
  </si>
  <si>
    <t>Ekono</t>
  </si>
  <si>
    <t>Método de cobro</t>
  </si>
  <si>
    <t>Early/Late Check Out</t>
  </si>
  <si>
    <t>Software y tecnología</t>
  </si>
  <si>
    <t>Internet</t>
  </si>
  <si>
    <t>Wireless Comunications KVF</t>
  </si>
  <si>
    <t>Hospedaje</t>
  </si>
  <si>
    <t>Booking.com</t>
  </si>
  <si>
    <t>Camaras Seguridad</t>
  </si>
  <si>
    <t>Equipo de IT</t>
  </si>
  <si>
    <t>Muebleria</t>
  </si>
  <si>
    <t>Thinner Corriente</t>
  </si>
  <si>
    <t>Sur Quimica</t>
  </si>
  <si>
    <t>Limpieza y lavandería</t>
  </si>
  <si>
    <t>Quetzal (4 hab)</t>
  </si>
  <si>
    <t>Oficina</t>
  </si>
  <si>
    <t>Combustible y transporte</t>
  </si>
  <si>
    <t>Gasolina</t>
  </si>
  <si>
    <t>Coopeagri</t>
  </si>
  <si>
    <t>Pago en Euros</t>
  </si>
  <si>
    <t>Rana (Condo 6)</t>
  </si>
  <si>
    <t>Jess</t>
  </si>
  <si>
    <t>Imprevistos y otros</t>
  </si>
  <si>
    <t>Reparacion de Llanta</t>
  </si>
  <si>
    <t>GS La Colonia</t>
  </si>
  <si>
    <t>Suministros</t>
  </si>
  <si>
    <t>Corporacion Supermercados Unidos</t>
  </si>
  <si>
    <t>Extra Noche</t>
  </si>
  <si>
    <t>Alimentos y bebidas</t>
  </si>
  <si>
    <t>Pedido para alimentacion empleados</t>
  </si>
  <si>
    <t>Frutas y Verduras Generaleñas</t>
  </si>
  <si>
    <t>Expedia</t>
  </si>
  <si>
    <t>Suministros Lavanderia</t>
  </si>
  <si>
    <t>Natural Center</t>
  </si>
  <si>
    <t>Lizardo (Condo 5)</t>
  </si>
  <si>
    <t>Materiales de Construccion</t>
  </si>
  <si>
    <t>Mascota</t>
  </si>
  <si>
    <t>Ferreteria Palmares</t>
  </si>
  <si>
    <t>Lapa (3 hab)</t>
  </si>
  <si>
    <t>Pyrex roto</t>
  </si>
  <si>
    <t>Web (Lodgify)</t>
  </si>
  <si>
    <t>Loro (4 hab)</t>
  </si>
  <si>
    <t>Moncavel</t>
  </si>
  <si>
    <t>Efectivo</t>
  </si>
  <si>
    <t>Tours y actividades</t>
  </si>
  <si>
    <t>Alimento Animales</t>
  </si>
  <si>
    <t>Michael Alberto Rodriguez</t>
  </si>
  <si>
    <t>BM Supermercado</t>
  </si>
  <si>
    <t>Salamandra (Condo 4)</t>
  </si>
  <si>
    <t>Faja Industrial</t>
  </si>
  <si>
    <t>RM Industrial Solin</t>
  </si>
  <si>
    <t>Pequeño Mundo</t>
  </si>
  <si>
    <t>Carline Kross</t>
  </si>
  <si>
    <t>TOTAL INGRESOS</t>
  </si>
  <si>
    <t>Gastos de representacion</t>
  </si>
  <si>
    <t>Supermercado Uvita</t>
  </si>
  <si>
    <t>Iguana (Condo 2)</t>
  </si>
  <si>
    <t>Philipp Egbers</t>
  </si>
  <si>
    <t>GASTOS</t>
  </si>
  <si>
    <t>Mik van der Drift</t>
  </si>
  <si>
    <t>Servicio Profesionales Andres</t>
  </si>
  <si>
    <t>Canavida</t>
  </si>
  <si>
    <t>Britt Reinke</t>
  </si>
  <si>
    <t>La Lico Happy Point</t>
  </si>
  <si>
    <t>Monica Perez</t>
  </si>
  <si>
    <t>Caracara (2 hab)</t>
  </si>
  <si>
    <t>Franci Zell</t>
  </si>
  <si>
    <t>Torogoz (4 hab)</t>
  </si>
  <si>
    <t>Fabio Rivera</t>
  </si>
  <si>
    <t>Directo / WhatsApp</t>
  </si>
  <si>
    <t>Tortuga</t>
  </si>
  <si>
    <t>Daniel Gonzalez</t>
  </si>
  <si>
    <t>Cargador de Laptop</t>
  </si>
  <si>
    <t>Repuestos Uvita</t>
  </si>
  <si>
    <t>Richard Ventura</t>
  </si>
  <si>
    <t>Suministros Oficina</t>
  </si>
  <si>
    <t>Pavla Muller</t>
  </si>
  <si>
    <t>Repuestos Maquina de presion de agua</t>
  </si>
  <si>
    <t>Sin Factura</t>
  </si>
  <si>
    <t>Referidos Chris</t>
  </si>
  <si>
    <t>Armantas Geciauskas</t>
  </si>
  <si>
    <t>Maxi PAli</t>
  </si>
  <si>
    <t>Oropendola (2 hab)</t>
  </si>
  <si>
    <t>Comisiones de plataformas</t>
  </si>
  <si>
    <t>Esther Lamm</t>
  </si>
  <si>
    <t>Mauro Protti</t>
  </si>
  <si>
    <t>Mariana Lopez</t>
  </si>
  <si>
    <t>Clarificador</t>
  </si>
  <si>
    <t>Felipe  Abarca</t>
  </si>
  <si>
    <t>Servicios públicos e internet</t>
  </si>
  <si>
    <t>Energia y alumbrado publico</t>
  </si>
  <si>
    <t>ICE</t>
  </si>
  <si>
    <t>Hanneke Vlemmix</t>
  </si>
  <si>
    <t>Gecko (Condo 3)</t>
  </si>
  <si>
    <t>Dennis Seidel</t>
  </si>
  <si>
    <t>Anastassia Altamirano</t>
  </si>
  <si>
    <t>Mariam Berrocal</t>
  </si>
  <si>
    <t>Shannel Beecher</t>
  </si>
  <si>
    <t>Barbera Muktem</t>
  </si>
  <si>
    <t>Cusinga (1 hab)</t>
  </si>
  <si>
    <t>Kendall Vargas</t>
  </si>
  <si>
    <t>Nicole Mills</t>
  </si>
  <si>
    <t>Grupo Materiales</t>
  </si>
  <si>
    <t>Recepcion</t>
  </si>
  <si>
    <t>Tabla de Picar</t>
  </si>
  <si>
    <t>Daniel Vergara</t>
  </si>
  <si>
    <t>Jannet Vargas</t>
  </si>
  <si>
    <t>Daniel Berrocal</t>
  </si>
  <si>
    <t>Nómina y salarios</t>
  </si>
  <si>
    <t>Gas</t>
  </si>
  <si>
    <t>Vio Gas</t>
  </si>
  <si>
    <t>Cindy Torres</t>
  </si>
  <si>
    <t>Taller Mecanico</t>
  </si>
  <si>
    <t>Ana Lorena</t>
  </si>
  <si>
    <t>Wagner</t>
  </si>
  <si>
    <t>Francinie Carvajal</t>
  </si>
  <si>
    <t>SIBU</t>
  </si>
  <si>
    <t>Pavon</t>
  </si>
  <si>
    <t>Mosaic</t>
  </si>
  <si>
    <t>Daniel Matarrita</t>
  </si>
  <si>
    <t>Guirardo Serrano</t>
  </si>
  <si>
    <t>Patricia Rios</t>
  </si>
  <si>
    <t>Joseph Andres</t>
  </si>
  <si>
    <t>Pago IQ Octubre</t>
  </si>
  <si>
    <t>Vincent Cardyn</t>
  </si>
  <si>
    <t>Plan Celular</t>
  </si>
  <si>
    <t>Roxana Morales</t>
  </si>
  <si>
    <t>TOTAL GASTOS</t>
  </si>
  <si>
    <t>Starlin Viquez</t>
  </si>
  <si>
    <t>Colono</t>
  </si>
  <si>
    <t>Alena Bermudez</t>
  </si>
  <si>
    <t>RESULTADO</t>
  </si>
  <si>
    <t>Pago de Booking</t>
  </si>
  <si>
    <t>Booking</t>
  </si>
  <si>
    <t>Jose Corrales</t>
  </si>
  <si>
    <t>UTILIDAD NETA (Ingresos − Gastos)</t>
  </si>
  <si>
    <t>Leany Cunnigham</t>
  </si>
  <si>
    <t>Allison Quiros</t>
  </si>
  <si>
    <t>Margen de utilidad (%)</t>
  </si>
  <si>
    <t>Karen Cruz</t>
  </si>
  <si>
    <t>Al Chile que si</t>
  </si>
  <si>
    <t>Maikol Solorzano</t>
  </si>
  <si>
    <t>Repuestos de moto</t>
  </si>
  <si>
    <t>Repuestos Ramirez</t>
  </si>
  <si>
    <t>Hayley Curran</t>
  </si>
  <si>
    <t>Repuesto Lavadora</t>
  </si>
  <si>
    <t>Kathya Mora</t>
  </si>
  <si>
    <t>Arnoldo</t>
  </si>
  <si>
    <t>Natural Cleaner</t>
  </si>
  <si>
    <t>PEdido para alimentacion empleados</t>
  </si>
  <si>
    <t>Dylan Barters</t>
  </si>
  <si>
    <t>Contabilidad Servicios</t>
  </si>
  <si>
    <t>CR Contadores</t>
  </si>
  <si>
    <t>Maricela Vargas</t>
  </si>
  <si>
    <t>La Fogata</t>
  </si>
  <si>
    <t>Nicy Barrett</t>
  </si>
  <si>
    <t>Ariel Fernandez</t>
  </si>
  <si>
    <t>Grettel H</t>
  </si>
  <si>
    <t>Vive Uvita</t>
  </si>
  <si>
    <t>Jeiry Pitty</t>
  </si>
  <si>
    <t>Ceciliano Blanco</t>
  </si>
  <si>
    <t>Servicios Contables</t>
  </si>
  <si>
    <t>Membresia</t>
  </si>
  <si>
    <t>Pricelabs</t>
  </si>
  <si>
    <t>Christian Peñaranda</t>
  </si>
  <si>
    <t>Steffen Sellmeyer</t>
  </si>
  <si>
    <t>Maria Jose Fonseca</t>
  </si>
  <si>
    <t>Andrea Mora</t>
  </si>
  <si>
    <t>Suministro JArdineria</t>
  </si>
  <si>
    <t>Boticas Alfaro</t>
  </si>
  <si>
    <t>Gasto medico</t>
  </si>
  <si>
    <t>Uvita Urgent Care</t>
  </si>
  <si>
    <t>Farmacia Ibarra</t>
  </si>
  <si>
    <t>Alicia Picado</t>
  </si>
  <si>
    <t>Factura Electronica</t>
  </si>
  <si>
    <t>Smart506</t>
  </si>
  <si>
    <t>Servicios Abogado</t>
  </si>
  <si>
    <t>Eduardo Abarca</t>
  </si>
  <si>
    <t>Carlos Monge</t>
  </si>
  <si>
    <t>Rest. Mariscos Amancio</t>
  </si>
  <si>
    <t>Daniela Sanchez</t>
  </si>
  <si>
    <t>Quo</t>
  </si>
  <si>
    <t>Breezeway</t>
  </si>
  <si>
    <t>Emanuel Vargas</t>
  </si>
  <si>
    <t>Alejandro Barquero</t>
  </si>
  <si>
    <t>Uvita Print</t>
  </si>
  <si>
    <t>Soluciones Electricas</t>
  </si>
  <si>
    <t>Lauren Marin</t>
  </si>
  <si>
    <t>Laurence Calderon</t>
  </si>
  <si>
    <t>⁨Melissa Rivera</t>
  </si>
  <si>
    <t>Nazareth Chacon</t>
  </si>
  <si>
    <t>Bazar y Libreria Rivera</t>
  </si>
  <si>
    <t>El Hornito</t>
  </si>
  <si>
    <t>Gaboury Guillaume</t>
  </si>
  <si>
    <t>Rest. Mestizo</t>
  </si>
  <si>
    <t>Eduardo Rodríguez</t>
  </si>
  <si>
    <t xml:space="preserve">Marianna Nikole </t>
  </si>
  <si>
    <t>Deibys Prado</t>
  </si>
  <si>
    <t>Erick Gómez Masís</t>
  </si>
  <si>
    <t>Reparacion de Lavanderia</t>
  </si>
  <si>
    <t>Oscar Bonilla</t>
  </si>
  <si>
    <t>Kevin Gonzalez</t>
  </si>
  <si>
    <t>Cinthia Leandro</t>
  </si>
  <si>
    <t>Evan Robinson</t>
  </si>
  <si>
    <t>Maria Vitória Santos</t>
  </si>
  <si>
    <t>Enoch Verdon</t>
  </si>
  <si>
    <t>Carina Hanschke</t>
  </si>
  <si>
    <t>Amenidades y paquetes</t>
  </si>
  <si>
    <t>Tiquicia Spirits</t>
  </si>
  <si>
    <t>Materiales de reparacion</t>
  </si>
  <si>
    <t>Mario Arias</t>
  </si>
  <si>
    <t>Rest. Marino Ballena</t>
  </si>
  <si>
    <t>Arqueo y Resumen de Caja</t>
  </si>
  <si>
    <t>Saldo inicial, flujo de efectivo por mes, conciliación con los registros diarios y arqueos (conteo físico del dinero). Celdas amarillas/azules = datos que usted llena.</t>
  </si>
  <si>
    <t>A. SALDO DE CAJA</t>
  </si>
  <si>
    <t>Concepto</t>
  </si>
  <si>
    <t>Saldo inicial de caja USD</t>
  </si>
  <si>
    <t>← Cuente el efectivo real al iniciar y anótelo aquí</t>
  </si>
  <si>
    <t>Saldo inicial de caja colones (₡)</t>
  </si>
  <si>
    <t>Tipo de cambio para el total (₡ por $)</t>
  </si>
  <si>
    <t>← Opcional: tipo de cambio del día para ver el total en USD</t>
  </si>
  <si>
    <t>Saldo actual en caja</t>
  </si>
  <si>
    <t>USD ($)</t>
  </si>
  <si>
    <t>Colones (₡)</t>
  </si>
  <si>
    <t>Total en USD*</t>
  </si>
  <si>
    <t>Saldo actual en caja (según registros)</t>
  </si>
  <si>
    <t>*Total en USD suma los colones convertidos con el tipo de cambio de C9 (si está vacío, solo muestra los dólares).</t>
  </si>
  <si>
    <t>B. FLUJO DE EFECTIVO POR MES</t>
  </si>
  <si>
    <t>Caja en dólares (USD)</t>
  </si>
  <si>
    <t>Total periodo</t>
  </si>
  <si>
    <t>Saldo inicial del mes</t>
  </si>
  <si>
    <t xml:space="preserve">   Venta / cobro en efectivo</t>
  </si>
  <si>
    <t xml:space="preserve">   Retiro de banco a caja</t>
  </si>
  <si>
    <t xml:space="preserve">   Otra entrada de efectivo</t>
  </si>
  <si>
    <t xml:space="preserve">   Ajuste de arqueo (+)</t>
  </si>
  <si>
    <t>Total entradas</t>
  </si>
  <si>
    <t xml:space="preserve">   Compra / pago en efectivo</t>
  </si>
  <si>
    <t xml:space="preserve">   Depósito de caja al banco</t>
  </si>
  <si>
    <t xml:space="preserve">   Vale / adelanto</t>
  </si>
  <si>
    <t xml:space="preserve">   Ajuste de arqueo (−)</t>
  </si>
  <si>
    <t>Total salidas</t>
  </si>
  <si>
    <t>Flujo neto del mes</t>
  </si>
  <si>
    <t>Saldo final del mes</t>
  </si>
  <si>
    <t>Caja en colones (₡)</t>
  </si>
  <si>
    <t>C. CONCILIACIÓN CON LOS REGISTROS DIARIOS (en USD)</t>
  </si>
  <si>
    <t>Gastos pagados en efectivo (Gastos Diarios, método Efectivo)</t>
  </si>
  <si>
    <t>Compras / pagos en efectivo (Caja, en USD)</t>
  </si>
  <si>
    <t>Diferencia en gastos</t>
  </si>
  <si>
    <t>Ingresos cobrados en efectivo (Ingresos Diarios, método Efectivo)</t>
  </si>
  <si>
    <t>Ventas / cobros en efectivo (Caja, en USD)</t>
  </si>
  <si>
    <t>Diferencia en ingresos</t>
  </si>
  <si>
    <t>Movimientos de caja marcados como NO registrados</t>
  </si>
  <si>
    <t>Movimientos en colones sin tipo de cambio</t>
  </si>
  <si>
    <t>Las diferencias deben ser cero: todo gasto o ingreso en efectivo va en su registro diario Y en la caja. En rojo = revisar qué falta en cuál de las dos hojas.</t>
  </si>
  <si>
    <t>D. CONTADOR PARA EL ARQUEO (escriba cuántos billetes y monedas hay)</t>
  </si>
  <si>
    <t>Dólares (USD)</t>
  </si>
  <si>
    <t>Cantidad</t>
  </si>
  <si>
    <t>Subtotal</t>
  </si>
  <si>
    <t>Total contado USD</t>
  </si>
  <si>
    <t>Total contado ₡</t>
  </si>
  <si>
    <t>Diferencia vs. saldo actual</t>
  </si>
  <si>
    <t>Después de contar, copie los totales en el registro de arqueos (sección E) y borre las cantidades para el próximo conteo. La diferencia compara contra el saldo de HOY según los registros.</t>
  </si>
  <si>
    <t>E. REGISTRO DE ARQUEOS (conteo físico del efectivo)</t>
  </si>
  <si>
    <t>Fecha del arqueo</t>
  </si>
  <si>
    <t>Saldo según registros</t>
  </si>
  <si>
    <t>Conteo físico</t>
  </si>
  <si>
    <t>Diferencia</t>
  </si>
  <si>
    <t>Contado por</t>
  </si>
  <si>
    <t>Revisado por</t>
  </si>
  <si>
    <t>¿Se registró ajuste?</t>
  </si>
  <si>
    <t>Explicación de la diferencia</t>
  </si>
  <si>
    <t>Concierge</t>
  </si>
  <si>
    <t>Gerente general</t>
  </si>
  <si>
    <t>No aplica</t>
  </si>
  <si>
    <t>← Ejemplo: fila de formato, puede borrarla</t>
  </si>
  <si>
    <t>Regla: se hace arqueo al menos una vez por semana y siempre al cierre de mes, con dos personas. Si hay diferencia, se explica aquí y se registra un 'Ajuste de arqueo (+)' o '(−)' en la hoja Caja Efectivo para que el saldo coincida con el dinero real.</t>
  </si>
  <si>
    <t>Utilidad y Posibles Gastos · 05/10/2026 – 31/12/2026</t>
  </si>
  <si>
    <t>Utilidad real (desde los registros diarios), presupuesto de posibles gastos por categoría y proyección de utilidad.</t>
  </si>
  <si>
    <t>A. UTILIDAD REAL POR MES</t>
  </si>
  <si>
    <t>Ingresos reales</t>
  </si>
  <si>
    <t>Gastos reales</t>
  </si>
  <si>
    <t>UTILIDAD REAL</t>
  </si>
  <si>
    <t>Margen real (%)</t>
  </si>
  <si>
    <t>B. POSIBLES GASTOS (PRESUPUESTO) VS GASTO REAL</t>
  </si>
  <si>
    <t>Total presupuestado</t>
  </si>
  <si>
    <t>Gasto real (acumulado)</t>
  </si>
  <si>
    <t>Diferencia (Ppto − Real)</t>
  </si>
  <si>
    <t>% ejecutado</t>
  </si>
  <si>
    <t>TOTAL POSIBLES GASTOS</t>
  </si>
  <si>
    <t>Celdas amarillas/azules = supuestos editables. Los montos son ESTIMACIONES DE EJEMPLO (no provienen del sitio web): reemplácelos con su presupuesto real. Octubre solo cuenta desde el día 5.</t>
  </si>
  <si>
    <t>C. UTILIDAD PROYECTADA VS REAL</t>
  </si>
  <si>
    <t>Ingresos proyectados (supuesto)</t>
  </si>
  <si>
    <t>Gastos proyectados (posibles gastos)</t>
  </si>
  <si>
    <t>UTILIDAD PROYECTADA</t>
  </si>
  <si>
    <t>Margen proyectado (%)</t>
  </si>
  <si>
    <t>Utilidad real</t>
  </si>
  <si>
    <t>Diferencia: Real − Proyectada</t>
  </si>
  <si>
    <t>Ingresos proyectados: estimación de ejemplo (temporada baja oct–nov, alta en diciembre). Reemplácela con su meta real.</t>
  </si>
  <si>
    <t>Listas y parámetros</t>
  </si>
  <si>
    <t>Edite estas listas (azul) para cambiar los desplegables. Las villas se tomaron de canavidaresort.com. Moneda de trabajo: USD (supuesto; el sitio muestra EUR, cámbiela si lo prefiere).</t>
  </si>
  <si>
    <t>Categorías de gasto</t>
  </si>
  <si>
    <t>Categorías de ingreso</t>
  </si>
  <si>
    <t>Villas / unidades</t>
  </si>
  <si>
    <t>Canal de reserva</t>
  </si>
  <si>
    <t>Mes</t>
  </si>
  <si>
    <t>Inicio</t>
  </si>
  <si>
    <t>Fin</t>
  </si>
  <si>
    <t>Días</t>
  </si>
  <si>
    <t>Tipo de movimiento de caja</t>
  </si>
  <si>
    <t>Moneda de caja</t>
  </si>
  <si>
    <t>Categoría (caja)</t>
  </si>
  <si>
    <t>Octubre 2026</t>
  </si>
  <si>
    <t>Entrada</t>
  </si>
  <si>
    <t>Cargas sociales (CCSS/INS)</t>
  </si>
  <si>
    <t>Love Nest</t>
  </si>
  <si>
    <t>Noviembre 2026</t>
  </si>
  <si>
    <t>Retiro de banco a caja</t>
  </si>
  <si>
    <t>Diciembre 2026</t>
  </si>
  <si>
    <t>Otra entrada de efectivo</t>
  </si>
  <si>
    <t>Paypal</t>
  </si>
  <si>
    <t>Ajuste de arqueo (+)</t>
  </si>
  <si>
    <t>Email Transfer</t>
  </si>
  <si>
    <t>Periodo analizado: 05/10/2026 a 31/12/2026 (octubre inicia el día 5).</t>
  </si>
  <si>
    <t>Depósito de caja al banco</t>
  </si>
  <si>
    <t>Vale / adelanto</t>
  </si>
  <si>
    <t>Ajuste de arqueo (−)</t>
  </si>
  <si>
    <t>Marketing y publicidad</t>
  </si>
  <si>
    <t>Costo de tours y actividades</t>
  </si>
  <si>
    <t>Seguros</t>
  </si>
  <si>
    <t>Impuestos y patentes</t>
  </si>
  <si>
    <t>Movimiento interno (banco ↔ caja)</t>
  </si>
  <si>
    <t>Listas de la hoja Caja Efectivo. La categoría (caja) toma sola las categorías de ingreso y de gasto de este libro.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</si>
</sst>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d/mm/yyyy"/>
    <numFmt numFmtId="165" formatCode="\$#,##0.00;&quot;($&quot;#,##0.00\);\-"/>
    <numFmt numFmtId="166" formatCode="\₡#,##0;&quot;(₡&quot;#,##0\);\-"/>
    <numFmt numFmtId="167" formatCode="\$#,##0;&quot;($&quot;#,##0\);\-"/>
    <numFmt numFmtId="168" formatCode="d/M/yyyy"/>
    <numFmt numFmtId="169" formatCode="0.0%;[RED]\-0.0%;\-"/>
    <numFmt numFmtId="170" formatCode="\$#,##0;[RED]&quot;($&quot;#,##0\);\-"/>
    <numFmt numFmtId="171" formatCode="#,##0;\-#,##0;\-"/>
    <numFmt numFmtId="172" formatCode="d/m/yyyy"/>
    <numFmt numFmtId="173" formatCode="\$#,##0"/>
    <numFmt numFmtId="174" formatCode="\₡#,##0"/>
    <numFmt numFmtId="175" formatCode="\$#,##0.00"/>
    <numFmt numFmtId="176" formatCode="#,##0.00;\(#,##0.00\);\-"/>
    <numFmt numFmtId="177" formatCode="0.0%;\-0.0%;\-"/>
  </numFmts>
  <fonts count="21">
    <font>
      <sz val="11.0"/>
      <color theme="1"/>
      <name val="Calibri"/>
      <scheme val="minor"/>
    </font>
    <font>
      <b/>
      <sz val="16.0"/>
      <color rgb="FF1F5C4A"/>
      <name val="Arial"/>
    </font>
    <font>
      <sz val="11.0"/>
      <color theme="1"/>
      <name val="Calibri"/>
    </font>
    <font>
      <i/>
      <sz val="10.0"/>
      <color rgb="FF595959"/>
      <name val="Arial"/>
    </font>
    <font>
      <b/>
      <sz val="10.0"/>
      <color rgb="FFFFFFFF"/>
      <name val="Arial"/>
    </font>
    <font>
      <sz val="10.0"/>
      <color rgb="FF595959"/>
      <name val="Arial"/>
    </font>
    <font>
      <i/>
      <sz val="10.0"/>
      <color rgb="FF808080"/>
      <name val="Arial"/>
    </font>
    <font>
      <sz val="10.0"/>
      <color rgb="FF808080"/>
      <name val="Arial"/>
    </font>
    <font>
      <i/>
      <sz val="9.0"/>
      <color rgb="FF7F7F7F"/>
      <name val="Arial"/>
    </font>
    <font>
      <b/>
      <sz val="10.0"/>
      <color theme="1"/>
      <name val="Arial"/>
    </font>
    <font>
      <sz val="9.0"/>
      <color rgb="FF7F7F7F"/>
      <name val="Arial"/>
    </font>
    <font>
      <color theme="1"/>
      <name val="Calibri"/>
      <scheme val="minor"/>
    </font>
    <font>
      <sz val="10.0"/>
      <color theme="1"/>
      <name val="Arial"/>
    </font>
    <font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rgb="FF0000FF"/>
      <name val="Arial"/>
    </font>
    <font>
      <u/>
      <sz val="11.0"/>
      <color rgb="FF0000FF"/>
      <name val="Arial"/>
    </font>
    <font>
      <sz val="10.0"/>
      <color rgb="FF008000"/>
      <name val="Arial"/>
    </font>
    <font>
      <i/>
      <sz val="9.0"/>
      <color rgb="FF595959"/>
      <name val="Arial"/>
    </font>
    <font>
      <b/>
      <sz val="11.0"/>
      <color rgb="FF1F5C4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5C4A"/>
        <bgColor rgb="FF1F5C4A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99"/>
        <bgColor rgb="FFFFFF99"/>
      </patternFill>
    </fill>
  </fills>
  <borders count="8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left/>
      <right/>
      <top style="thin">
        <color rgb="FF000000"/>
      </top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0"/>
    </xf>
    <xf borderId="0" fillId="0" fontId="6" numFmtId="1" xfId="0" applyAlignment="1" applyFont="1" applyNumberForma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7" numFmtId="166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0" fillId="0" fontId="12" numFmtId="167" xfId="0" applyAlignment="1" applyFont="1" applyNumberFormat="1">
      <alignment readingOrder="0" shrinkToFit="0" vertical="bottom" wrapText="0"/>
    </xf>
    <xf borderId="0" fillId="0" fontId="9" numFmtId="1" xfId="0" applyAlignment="1" applyFont="1" applyNumberFormat="1">
      <alignment shrinkToFit="0" vertical="bottom" wrapText="0"/>
    </xf>
    <xf borderId="0" fillId="0" fontId="9" numFmtId="1" xfId="0" applyAlignment="1" applyFont="1" applyNumberFormat="1">
      <alignment horizontal="left" shrinkToFit="0" vertical="bottom" wrapText="0"/>
    </xf>
    <xf borderId="0" fillId="0" fontId="9" numFmtId="0" xfId="0" applyAlignment="1" applyFont="1">
      <alignment horizontal="right" shrinkToFit="0" vertical="bottom" wrapText="0"/>
    </xf>
    <xf borderId="2" fillId="0" fontId="9" numFmtId="165" xfId="0" applyAlignment="1" applyBorder="1" applyFont="1" applyNumberFormat="1">
      <alignment shrinkToFit="0" vertical="bottom" wrapText="0"/>
    </xf>
    <xf borderId="3" fillId="0" fontId="13" numFmtId="164" xfId="0" applyAlignment="1" applyBorder="1" applyFont="1" applyNumberFormat="1">
      <alignment horizontal="center" readingOrder="0" shrinkToFit="0" vertical="bottom" wrapText="0"/>
    </xf>
    <xf borderId="3" fillId="0" fontId="13" numFmtId="0" xfId="0" applyAlignment="1" applyBorder="1" applyFont="1">
      <alignment readingOrder="0" shrinkToFit="0" vertical="bottom" wrapText="0"/>
    </xf>
    <xf borderId="0" fillId="0" fontId="12" numFmtId="167" xfId="0" applyAlignment="1" applyFont="1" applyNumberFormat="1">
      <alignment shrinkToFit="0" vertical="bottom" wrapText="0"/>
    </xf>
    <xf borderId="2" fillId="3" fontId="9" numFmtId="1" xfId="0" applyAlignment="1" applyBorder="1" applyFill="1" applyFont="1" applyNumberFormat="1">
      <alignment horizontal="center" shrinkToFit="0" vertical="bottom" wrapText="0"/>
    </xf>
    <xf borderId="2" fillId="0" fontId="13" numFmtId="168" xfId="0" applyAlignment="1" applyBorder="1" applyFont="1" applyNumberFormat="1">
      <alignment readingOrder="0" shrinkToFit="0" vertical="bottom" wrapText="0"/>
    </xf>
    <xf borderId="2" fillId="0" fontId="13" numFmtId="0" xfId="0" applyAlignment="1" applyBorder="1" applyFont="1">
      <alignment readingOrder="0" shrinkToFit="0" vertical="bottom" wrapText="0"/>
    </xf>
    <xf borderId="3" fillId="3" fontId="12" numFmtId="0" xfId="0" applyAlignment="1" applyBorder="1" applyFill="1" applyFont="1">
      <alignment horizontal="center" shrinkToFit="0" vertical="bottom" wrapText="0"/>
    </xf>
    <xf borderId="4" fillId="2" fontId="4" numFmtId="0" xfId="0" applyAlignment="1" applyBorder="1" applyFill="1" applyFont="1">
      <alignment horizontal="left" shrinkToFit="0" vertical="center" wrapText="1"/>
    </xf>
    <xf borderId="2" fillId="0" fontId="13" numFmtId="165" xfId="0" applyAlignment="1" applyBorder="1" applyFont="1" applyNumberFormat="1">
      <alignment readingOrder="0" shrinkToFit="0" vertical="bottom" wrapText="0"/>
    </xf>
    <xf borderId="3" fillId="0" fontId="13" numFmtId="0" xfId="0" applyAlignment="1" applyBorder="1" applyFont="1">
      <alignment horizontal="center" readingOrder="0" shrinkToFit="0" vertical="bottom" wrapText="0"/>
    </xf>
    <xf borderId="4" fillId="2" fontId="4" numFmtId="0" xfId="0" applyAlignment="1" applyBorder="1" applyFill="1" applyFont="1">
      <alignment horizontal="center" shrinkToFit="0" vertical="center" wrapText="1"/>
    </xf>
    <xf borderId="0" fillId="0" fontId="9" numFmtId="167" xfId="0" applyAlignment="1" applyFont="1" applyNumberFormat="1">
      <alignment shrinkToFit="0" vertical="bottom" wrapText="0"/>
    </xf>
    <xf borderId="0" fillId="0" fontId="11" numFmtId="0" xfId="0" applyAlignment="1" applyFont="1">
      <alignment readingOrder="0"/>
    </xf>
    <xf borderId="3" fillId="0" fontId="13" numFmtId="4" xfId="0" applyAlignment="1" applyBorder="1" applyFont="1" applyNumberFormat="1">
      <alignment readingOrder="0" shrinkToFit="0" vertical="bottom" wrapText="0"/>
    </xf>
    <xf borderId="3" fillId="0" fontId="13" numFmtId="4" xfId="0" applyAlignment="1" applyBorder="1" applyFont="1" applyNumberFormat="1">
      <alignment horizontal="center" readingOrder="0" shrinkToFit="0" vertical="bottom" wrapText="0"/>
    </xf>
    <xf borderId="4" fillId="2" fontId="4" numFmtId="0" xfId="0" applyAlignment="1" applyBorder="1" applyFill="1" applyFont="1">
      <alignment horizontal="center" readingOrder="0" shrinkToFit="0" vertical="center" wrapText="1"/>
    </xf>
    <xf borderId="0" fillId="0" fontId="12" numFmtId="169" xfId="0" applyAlignment="1" applyFont="1" applyNumberFormat="1">
      <alignment shrinkToFit="0" vertical="bottom" wrapText="0"/>
    </xf>
    <xf borderId="2" fillId="0" fontId="13" numFmtId="164" xfId="0" applyAlignment="1" applyBorder="1" applyFont="1" applyNumberFormat="1">
      <alignment readingOrder="0" shrinkToFit="0" vertical="bottom" wrapText="0"/>
    </xf>
    <xf borderId="3" fillId="3" fontId="12" numFmtId="165" xfId="0" applyAlignment="1" applyBorder="1" applyFill="1" applyFont="1" applyNumberFormat="1">
      <alignment shrinkToFit="0" vertical="bottom" wrapText="0"/>
    </xf>
    <xf borderId="3" fillId="0" fontId="13" numFmtId="0" xfId="0" applyAlignment="1" applyBorder="1" applyFont="1">
      <alignment shrinkToFit="0" vertical="bottom" wrapText="0"/>
    </xf>
    <xf borderId="2" fillId="0" fontId="14" numFmtId="0" xfId="0" applyAlignment="1" applyBorder="1" applyFont="1">
      <alignment readingOrder="0" shrinkToFit="0" vertical="bottom" wrapText="0"/>
    </xf>
    <xf borderId="2" fillId="0" fontId="13" numFmtId="1" xfId="0" applyAlignment="1" applyBorder="1" applyFont="1" applyNumberFormat="1">
      <alignment readingOrder="0" shrinkToFit="0" vertical="bottom" wrapText="0"/>
    </xf>
    <xf borderId="3" fillId="0" fontId="13" numFmtId="4" xfId="0" applyAlignment="1" applyBorder="1" applyFont="1" applyNumberFormat="1">
      <alignment shrinkToFit="0" vertical="bottom" wrapText="0"/>
    </xf>
    <xf borderId="3" fillId="0" fontId="13" numFmtId="164" xfId="0" applyAlignment="1" applyBorder="1" applyFont="1" applyNumberFormat="1">
      <alignment horizontal="center" shrinkToFit="0" vertical="bottom" wrapText="0"/>
    </xf>
    <xf borderId="3" fillId="0" fontId="13" numFmtId="0" xfId="0" applyAlignment="1" applyBorder="1" applyFont="1">
      <alignment horizontal="center" shrinkToFit="0" vertical="bottom" wrapText="0"/>
    </xf>
    <xf borderId="3" fillId="0" fontId="13" numFmtId="4" xfId="0" applyAlignment="1" applyBorder="1" applyFont="1" applyNumberFormat="1">
      <alignment horizontal="center" shrinkToFit="0" vertical="bottom" wrapText="0"/>
    </xf>
    <xf borderId="5" fillId="3" fontId="9" numFmtId="0" xfId="0" applyAlignment="1" applyBorder="1" applyFill="1" applyFont="1">
      <alignment shrinkToFit="0" vertical="bottom" wrapText="0"/>
    </xf>
    <xf borderId="6" fillId="0" fontId="13" numFmtId="164" xfId="0" applyAlignment="1" applyBorder="1" applyFont="1" applyNumberFormat="1">
      <alignment readingOrder="0" shrinkToFit="0" vertical="bottom" wrapText="0"/>
    </xf>
    <xf borderId="6" fillId="0" fontId="13" numFmtId="0" xfId="0" applyAlignment="1" applyBorder="1" applyFont="1">
      <alignment readingOrder="0" shrinkToFit="0" vertical="bottom" wrapText="0"/>
    </xf>
    <xf borderId="5" fillId="3" fontId="9" numFmtId="167" xfId="0" applyAlignment="1" applyBorder="1" applyFill="1" applyFont="1" applyNumberFormat="1">
      <alignment shrinkToFit="0" vertical="bottom" wrapText="0"/>
    </xf>
    <xf borderId="2" fillId="0" fontId="13" numFmtId="165" xfId="0" applyAlignment="1" applyBorder="1" applyFont="1" applyNumberFormat="1">
      <alignment shrinkToFit="0" vertical="bottom" wrapText="0"/>
    </xf>
    <xf borderId="6" fillId="0" fontId="15" numFmtId="0" xfId="0" applyAlignment="1" applyBorder="1" applyFont="1">
      <alignment readingOrder="0" shrinkToFit="0" vertical="bottom" wrapText="0"/>
    </xf>
    <xf borderId="6" fillId="0" fontId="13" numFmtId="1" xfId="0" applyAlignment="1" applyBorder="1" applyFont="1" applyNumberFormat="1">
      <alignment readingOrder="0" shrinkToFit="0" vertical="bottom" wrapText="0"/>
    </xf>
    <xf borderId="5" fillId="3" fontId="9" numFmtId="169" xfId="0" applyAlignment="1" applyBorder="1" applyFill="1" applyFont="1" applyNumberFormat="1">
      <alignment shrinkToFit="0" vertical="bottom" wrapText="0"/>
    </xf>
    <xf borderId="6" fillId="0" fontId="13" numFmtId="165" xfId="0" applyAlignment="1" applyBorder="1" applyFont="1" applyNumberFormat="1">
      <alignment readingOrder="0" shrinkToFit="0" vertical="bottom" wrapText="0"/>
    </xf>
    <xf borderId="2" fillId="0" fontId="13" numFmtId="1" xfId="0" applyAlignment="1" applyBorder="1" applyFont="1" applyNumberFormat="1">
      <alignment shrinkToFit="0" vertical="bottom" wrapText="0"/>
    </xf>
    <xf borderId="2" fillId="0" fontId="16" numFmtId="0" xfId="0" applyAlignment="1" applyBorder="1" applyFont="1">
      <alignment readingOrder="0" shrinkToFit="0" vertical="bottom" wrapText="0"/>
    </xf>
    <xf borderId="2" fillId="0" fontId="16" numFmtId="1" xfId="0" applyAlignment="1" applyBorder="1" applyFont="1" applyNumberFormat="1">
      <alignment readingOrder="0" shrinkToFit="0" vertical="bottom" wrapText="0"/>
    </xf>
    <xf borderId="2" fillId="0" fontId="16" numFmtId="165" xfId="0" applyAlignment="1" applyBorder="1" applyFont="1" applyNumberFormat="1">
      <alignment readingOrder="0" shrinkToFit="0" vertical="bottom" wrapText="0"/>
    </xf>
    <xf borderId="2" fillId="0" fontId="17" numFmtId="0" xfId="0" applyAlignment="1" applyBorder="1" applyFont="1">
      <alignment readingOrder="0" shrinkToFit="0" vertical="bottom" wrapText="0"/>
    </xf>
    <xf borderId="0" fillId="0" fontId="9" numFmtId="170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vertical="bottom" wrapText="0"/>
    </xf>
    <xf borderId="0" fillId="0" fontId="12" numFmtId="171" xfId="0" applyAlignment="1" applyFont="1" applyNumberFormat="1">
      <alignment shrinkToFit="0" vertical="bottom" wrapText="0"/>
    </xf>
    <xf borderId="0" fillId="0" fontId="9" numFmtId="169" xfId="0" applyAlignment="1" applyFont="1" applyNumberFormat="1">
      <alignment shrinkToFit="0" vertical="bottom" wrapText="0"/>
    </xf>
    <xf borderId="0" fillId="0" fontId="9" numFmtId="171" xfId="0" applyAlignment="1" applyFont="1" applyNumberFormat="1">
      <alignment shrinkToFit="0" vertical="bottom" wrapText="0"/>
    </xf>
    <xf borderId="2" fillId="0" fontId="13" numFmtId="172" xfId="0" applyAlignment="1" applyBorder="1" applyFont="1" applyNumberFormat="1">
      <alignment readingOrder="0" shrinkToFit="0" vertical="bottom" wrapText="0"/>
    </xf>
    <xf borderId="2" fillId="0" fontId="13" numFmtId="164" xfId="0" applyAlignment="1" applyBorder="1" applyFont="1" applyNumberFormat="1">
      <alignment shrinkToFit="0" vertical="bottom" wrapText="0"/>
    </xf>
    <xf borderId="2" fillId="0" fontId="13" numFmtId="0" xfId="0" applyAlignment="1" applyBorder="1" applyFont="1">
      <alignment shrinkToFit="0" vertical="bottom" wrapText="0"/>
    </xf>
    <xf borderId="1" fillId="4" fontId="9" numFmtId="0" xfId="0" applyAlignment="1" applyBorder="1" applyFill="1" applyFont="1">
      <alignment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0" fillId="0" fontId="18" numFmtId="164" xfId="0" applyAlignment="1" applyFont="1" applyNumberFormat="1">
      <alignment shrinkToFit="0" vertical="bottom" wrapText="0"/>
    </xf>
    <xf borderId="1" fillId="5" fontId="13" numFmtId="165" xfId="0" applyAlignment="1" applyBorder="1" applyFill="1" applyFont="1" applyNumberFormat="1">
      <alignment shrinkToFit="0" vertical="bottom" wrapText="0"/>
    </xf>
    <xf borderId="0" fillId="0" fontId="19" numFmtId="0" xfId="0" applyAlignment="1" applyFont="1">
      <alignment shrinkToFit="0" vertical="bottom" wrapText="0"/>
    </xf>
    <xf borderId="1" fillId="5" fontId="13" numFmtId="166" xfId="0" applyAlignment="1" applyBorder="1" applyFill="1" applyFont="1" applyNumberFormat="1">
      <alignment shrinkToFit="0" vertical="bottom" wrapText="0"/>
    </xf>
    <xf borderId="1" fillId="5" fontId="13" numFmtId="4" xfId="0" applyAlignment="1" applyBorder="1" applyFill="1" applyFont="1" applyNumberFormat="1">
      <alignment shrinkToFit="0" vertical="bottom" wrapText="0"/>
    </xf>
    <xf borderId="1" fillId="3" fontId="9" numFmtId="165" xfId="0" applyAlignment="1" applyBorder="1" applyFill="1" applyFont="1" applyNumberFormat="1">
      <alignment shrinkToFit="0" vertical="bottom" wrapText="0"/>
    </xf>
    <xf borderId="1" fillId="3" fontId="9" numFmtId="166" xfId="0" applyAlignment="1" applyBorder="1" applyFill="1" applyFont="1" applyNumberFormat="1">
      <alignment shrinkToFit="0" vertical="bottom" wrapText="0"/>
    </xf>
    <xf borderId="1" fillId="3" fontId="12" numFmtId="165" xfId="0" applyAlignment="1" applyBorder="1" applyFill="1" applyFont="1" applyNumberFormat="1">
      <alignment shrinkToFit="0" vertical="bottom" wrapText="0"/>
    </xf>
    <xf borderId="1" fillId="3" fontId="18" numFmtId="165" xfId="0" applyAlignment="1" applyBorder="1" applyFill="1" applyFont="1" applyNumberFormat="1">
      <alignment shrinkToFit="0" vertical="bottom" wrapText="0"/>
    </xf>
    <xf borderId="1" fillId="3" fontId="12" numFmtId="166" xfId="0" applyAlignment="1" applyBorder="1" applyFill="1" applyFont="1" applyNumberFormat="1">
      <alignment shrinkToFit="0" vertical="bottom" wrapText="0"/>
    </xf>
    <xf borderId="1" fillId="3" fontId="18" numFmtId="166" xfId="0" applyAlignment="1" applyBorder="1" applyFill="1" applyFont="1" applyNumberFormat="1">
      <alignment shrinkToFit="0" vertical="bottom" wrapText="0"/>
    </xf>
    <xf borderId="0" fillId="0" fontId="12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1" fillId="3" fontId="18" numFmtId="1" xfId="0" applyAlignment="1" applyBorder="1" applyFill="1" applyFont="1" applyNumberFormat="1">
      <alignment shrinkToFit="0" vertical="bottom" wrapText="0"/>
    </xf>
    <xf borderId="1" fillId="3" fontId="9" numFmtId="1" xfId="0" applyAlignment="1" applyBorder="1" applyFill="1" applyFont="1" applyNumberFormat="1">
      <alignment shrinkToFit="0" vertical="bottom" wrapText="0"/>
    </xf>
    <xf borderId="0" fillId="0" fontId="12" numFmtId="173" xfId="0" applyAlignment="1" applyFont="1" applyNumberFormat="1">
      <alignment horizontal="right" shrinkToFit="0" vertical="bottom" wrapText="0"/>
    </xf>
    <xf borderId="1" fillId="5" fontId="13" numFmtId="1" xfId="0" applyAlignment="1" applyBorder="1" applyFill="1" applyFont="1" applyNumberFormat="1">
      <alignment shrinkToFit="0" vertical="bottom" wrapText="0"/>
    </xf>
    <xf borderId="0" fillId="0" fontId="12" numFmtId="174" xfId="0" applyAlignment="1" applyFont="1" applyNumberFormat="1">
      <alignment horizontal="right" shrinkToFit="0" vertical="bottom" wrapText="0"/>
    </xf>
    <xf borderId="0" fillId="0" fontId="12" numFmtId="175" xfId="0" applyAlignment="1" applyFont="1" applyNumberFormat="1">
      <alignment horizontal="right" shrinkToFit="0" vertical="bottom" wrapText="0"/>
    </xf>
    <xf borderId="3" fillId="0" fontId="13" numFmtId="164" xfId="0" applyAlignment="1" applyBorder="1" applyFont="1" applyNumberFormat="1">
      <alignment shrinkToFit="0" vertical="bottom" wrapText="0"/>
    </xf>
    <xf borderId="3" fillId="3" fontId="12" numFmtId="176" xfId="0" applyAlignment="1" applyBorder="1" applyFill="1" applyFont="1" applyNumberFormat="1">
      <alignment shrinkToFit="0" vertical="bottom" wrapText="0"/>
    </xf>
    <xf borderId="1" fillId="4" fontId="20" numFmtId="0" xfId="0" applyAlignment="1" applyBorder="1" applyFill="1" applyFont="1">
      <alignment shrinkToFit="0" vertical="bottom" wrapText="0"/>
    </xf>
    <xf borderId="0" fillId="0" fontId="18" numFmtId="167" xfId="0" applyAlignment="1" applyFont="1" applyNumberFormat="1">
      <alignment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1" fillId="3" fontId="9" numFmtId="170" xfId="0" applyAlignment="1" applyBorder="1" applyFill="1" applyFont="1" applyNumberFormat="1">
      <alignment shrinkToFit="0" vertical="bottom" wrapText="0"/>
    </xf>
    <xf borderId="2" fillId="5" fontId="13" numFmtId="167" xfId="0" applyAlignment="1" applyBorder="1" applyFill="1" applyFont="1" applyNumberFormat="1">
      <alignment shrinkToFit="0" vertical="bottom" wrapText="0"/>
    </xf>
    <xf borderId="0" fillId="0" fontId="12" numFmtId="170" xfId="0" applyAlignment="1" applyFont="1" applyNumberFormat="1">
      <alignment shrinkToFit="0" vertical="bottom" wrapText="0"/>
    </xf>
    <xf borderId="0" fillId="0" fontId="12" numFmtId="177" xfId="0" applyAlignment="1" applyFont="1" applyNumberFormat="1">
      <alignment shrinkToFit="0" vertical="bottom" wrapText="0"/>
    </xf>
    <xf borderId="5" fillId="3" fontId="9" numFmtId="170" xfId="0" applyAlignment="1" applyBorder="1" applyFill="1" applyFont="1" applyNumberFormat="1">
      <alignment shrinkToFit="0" vertical="bottom" wrapText="0"/>
    </xf>
    <xf borderId="5" fillId="3" fontId="9" numFmtId="177" xfId="0" applyAlignment="1" applyBorder="1" applyFill="1" applyFont="1" applyNumberFormat="1">
      <alignment shrinkToFit="0" vertical="bottom" wrapText="0"/>
    </xf>
    <xf borderId="0" fillId="0" fontId="18" numFmtId="164" xfId="0" applyAlignment="1" applyFont="1" applyNumberFormat="1">
      <alignment horizontal="left"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2" numFmtId="164" xfId="0" applyAlignment="1" applyFont="1" applyNumberFormat="1">
      <alignment horizontal="left" shrinkToFit="0" vertical="bottom" wrapText="0"/>
    </xf>
    <xf borderId="1" fillId="2" fontId="4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2" numFmtId="1" xfId="0" applyAlignment="1" applyFont="1" applyNumberFormat="1">
      <alignment shrinkToFit="0" vertical="bottom" wrapText="0"/>
    </xf>
    <xf borderId="5" fillId="3" fontId="2" numFmtId="0" xfId="0" applyAlignment="1" applyBorder="1" applyFill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>
        <b/>
        <color rgb="FF990000"/>
        <name val="Arial"/>
      </font>
      <fill>
        <patternFill patternType="solid">
          <fgColor rgb="FFF4CCCC"/>
          <bgColor rgb="FFF4CCCC"/>
        </patternFill>
      </fill>
      <border/>
    </dxf>
    <dxf>
      <font>
        <b/>
        <color rgb="FFCC0000"/>
        <name val="Arial"/>
      </font>
      <fill>
        <patternFill patternType="none"/>
      </fill>
      <border/>
    </dxf>
    <dxf>
      <font>
        <b/>
        <name val="Arial"/>
      </font>
      <fill>
        <patternFill patternType="solid">
          <fgColor rgb="FFFFE599"/>
          <bgColor rgb="FFFFE599"/>
        </patternFill>
      </fill>
      <border/>
    </dxf>
    <dxf>
      <font>
        <b/>
        <color rgb="FF38761D"/>
        <name val="Arial"/>
      </font>
      <fill>
        <patternFill patternType="none"/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booking.com/" TargetMode="External"/><Relationship Id="rId22" Type="http://schemas.openxmlformats.org/officeDocument/2006/relationships/hyperlink" Target="http://booking.com/" TargetMode="External"/><Relationship Id="rId21" Type="http://schemas.openxmlformats.org/officeDocument/2006/relationships/hyperlink" Target="http://booking.com/" TargetMode="External"/><Relationship Id="rId24" Type="http://schemas.openxmlformats.org/officeDocument/2006/relationships/hyperlink" Target="http://booking.com/" TargetMode="External"/><Relationship Id="rId23" Type="http://schemas.openxmlformats.org/officeDocument/2006/relationships/hyperlink" Target="http://booking.com/" TargetMode="External"/><Relationship Id="rId1" Type="http://schemas.openxmlformats.org/officeDocument/2006/relationships/hyperlink" Target="http://booking.com/" TargetMode="External"/><Relationship Id="rId2" Type="http://schemas.openxmlformats.org/officeDocument/2006/relationships/hyperlink" Target="http://booking.com/" TargetMode="External"/><Relationship Id="rId3" Type="http://schemas.openxmlformats.org/officeDocument/2006/relationships/hyperlink" Target="http://booking.com/" TargetMode="External"/><Relationship Id="rId4" Type="http://schemas.openxmlformats.org/officeDocument/2006/relationships/hyperlink" Target="http://booking.com/" TargetMode="External"/><Relationship Id="rId9" Type="http://schemas.openxmlformats.org/officeDocument/2006/relationships/hyperlink" Target="http://booking.com/" TargetMode="External"/><Relationship Id="rId26" Type="http://schemas.openxmlformats.org/officeDocument/2006/relationships/hyperlink" Target="http://booking.com/" TargetMode="External"/><Relationship Id="rId25" Type="http://schemas.openxmlformats.org/officeDocument/2006/relationships/hyperlink" Target="http://booking.com/" TargetMode="External"/><Relationship Id="rId28" Type="http://schemas.openxmlformats.org/officeDocument/2006/relationships/hyperlink" Target="http://booking.com/" TargetMode="External"/><Relationship Id="rId27" Type="http://schemas.openxmlformats.org/officeDocument/2006/relationships/hyperlink" Target="http://booking.com/" TargetMode="External"/><Relationship Id="rId5" Type="http://schemas.openxmlformats.org/officeDocument/2006/relationships/hyperlink" Target="http://booking.com/" TargetMode="External"/><Relationship Id="rId6" Type="http://schemas.openxmlformats.org/officeDocument/2006/relationships/hyperlink" Target="http://booking.com/" TargetMode="External"/><Relationship Id="rId29" Type="http://schemas.openxmlformats.org/officeDocument/2006/relationships/hyperlink" Target="http://booking.com/" TargetMode="External"/><Relationship Id="rId7" Type="http://schemas.openxmlformats.org/officeDocument/2006/relationships/hyperlink" Target="http://booking.com/" TargetMode="External"/><Relationship Id="rId8" Type="http://schemas.openxmlformats.org/officeDocument/2006/relationships/hyperlink" Target="http://booking.com/" TargetMode="External"/><Relationship Id="rId30" Type="http://schemas.openxmlformats.org/officeDocument/2006/relationships/drawing" Target="../drawings/drawing3.xml"/><Relationship Id="rId11" Type="http://schemas.openxmlformats.org/officeDocument/2006/relationships/hyperlink" Target="http://booking.com/" TargetMode="External"/><Relationship Id="rId10" Type="http://schemas.openxmlformats.org/officeDocument/2006/relationships/hyperlink" Target="http://booking.com/" TargetMode="External"/><Relationship Id="rId13" Type="http://schemas.openxmlformats.org/officeDocument/2006/relationships/hyperlink" Target="http://booking.com/" TargetMode="External"/><Relationship Id="rId12" Type="http://schemas.openxmlformats.org/officeDocument/2006/relationships/hyperlink" Target="http://booking.com/" TargetMode="External"/><Relationship Id="rId15" Type="http://schemas.openxmlformats.org/officeDocument/2006/relationships/hyperlink" Target="http://booking.com/" TargetMode="External"/><Relationship Id="rId14" Type="http://schemas.openxmlformats.org/officeDocument/2006/relationships/hyperlink" Target="http://booking.com/" TargetMode="External"/><Relationship Id="rId17" Type="http://schemas.openxmlformats.org/officeDocument/2006/relationships/hyperlink" Target="http://booking.com/" TargetMode="External"/><Relationship Id="rId16" Type="http://schemas.openxmlformats.org/officeDocument/2006/relationships/hyperlink" Target="http://booking.com/" TargetMode="External"/><Relationship Id="rId19" Type="http://schemas.openxmlformats.org/officeDocument/2006/relationships/hyperlink" Target="http://booking.com/" TargetMode="External"/><Relationship Id="rId18" Type="http://schemas.openxmlformats.org/officeDocument/2006/relationships/hyperlink" Target="http://booking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38.0"/>
    <col customWidth="1" min="2" max="5" width="16.0"/>
    <col customWidth="1" min="6" max="6" width="13.0"/>
    <col customWidth="1" min="7" max="7" width="16.0"/>
    <col customWidth="1" min="8" max="8" width="13.0"/>
    <col customWidth="1" min="9" max="26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 ht="30.0" customHeight="1">
      <c r="A4" s="4" t="s">
        <v>4</v>
      </c>
      <c r="B4" s="10" t="str">
        <f>Listas!$K$5</f>
        <v>Octubre 2026</v>
      </c>
      <c r="C4" s="10" t="str">
        <f>Listas!$K$6</f>
        <v>Noviembre 2026</v>
      </c>
      <c r="D4" s="10" t="str">
        <f>Listas!$K$7</f>
        <v>Diciembre 2026</v>
      </c>
      <c r="E4" s="18" t="s">
        <v>27</v>
      </c>
      <c r="F4" s="18" t="s">
        <v>28</v>
      </c>
      <c r="G4" s="2"/>
      <c r="H4" s="2"/>
    </row>
    <row r="5" ht="15.0" customHeight="1">
      <c r="A5" s="19" t="s">
        <v>29</v>
      </c>
      <c r="B5" s="20">
        <v>70.0</v>
      </c>
      <c r="C5" s="27">
        <f>SUMIFS('Ingresos Diarios'!$H$27:$H$1026,'Ingresos Diarios'!$C$27:$C$1026,$A5,'Ingresos Diarios'!$A$27:$A$1026,"&gt;="&amp;Listas!$L$6,'Ingresos Diarios'!$A$27:$A$1026,"&lt;="&amp;Listas!$M$6)</f>
        <v>0</v>
      </c>
      <c r="D5" s="27">
        <f>SUMIFS('Ingresos Diarios'!$H$27:$H$1026,'Ingresos Diarios'!$C$27:$C$1026,$A5,'Ingresos Diarios'!$A$27:$A$1026,"&gt;="&amp;Listas!$L$7,'Ingresos Diarios'!$A$27:$A$1026,"&lt;="&amp;Listas!$M$7)</f>
        <v>0</v>
      </c>
      <c r="E5" s="36">
        <f t="shared" ref="E5:E9" si="1">SUM(B5:D5)</f>
        <v>70</v>
      </c>
      <c r="F5" s="41">
        <f t="shared" ref="F5:F10" si="2">IF($E$10=0,0,E5/$E$10)</f>
        <v>0.002542545298</v>
      </c>
      <c r="G5" s="2"/>
      <c r="H5" s="2"/>
    </row>
    <row r="6" ht="15.0" customHeight="1">
      <c r="A6" s="19" t="s">
        <v>68</v>
      </c>
      <c r="B6" s="27">
        <f>SUMIFS('Ingresos Diarios'!$H$27:$H$1026,'Ingresos Diarios'!$C$27:$C$1026,$A6,'Ingresos Diarios'!$A$27:$A$1026,"&gt;="&amp;Listas!$L$5,'Ingresos Diarios'!$A$27:$A$1026,"&lt;="&amp;Listas!$M$5)</f>
        <v>150.4662309</v>
      </c>
      <c r="C6" s="27">
        <f>SUMIFS('Ingresos Diarios'!$H$27:$H$1026,'Ingresos Diarios'!$C$27:$C$1026,$A6,'Ingresos Diarios'!$A$27:$A$1026,"&gt;="&amp;Listas!$L$6,'Ingresos Diarios'!$A$27:$A$1026,"&lt;="&amp;Listas!$M$6)</f>
        <v>0</v>
      </c>
      <c r="D6" s="27">
        <f>SUMIFS('Ingresos Diarios'!$H$27:$H$1026,'Ingresos Diarios'!$C$27:$C$1026,$A6,'Ingresos Diarios'!$A$27:$A$1026,"&gt;="&amp;Listas!$L$7,'Ingresos Diarios'!$A$27:$A$1026,"&lt;="&amp;Listas!$M$7)</f>
        <v>0</v>
      </c>
      <c r="E6" s="36">
        <f t="shared" si="1"/>
        <v>150.4662309</v>
      </c>
      <c r="F6" s="41">
        <f t="shared" si="2"/>
        <v>0.005465245827</v>
      </c>
      <c r="G6" s="2"/>
      <c r="H6" s="2"/>
    </row>
    <row r="7" ht="15.0" customHeight="1">
      <c r="A7" s="19" t="s">
        <v>72</v>
      </c>
      <c r="B7" s="20">
        <v>27227.0</v>
      </c>
      <c r="C7" s="27">
        <f>SUMIFS('Ingresos Diarios'!$H$27:$H$1026,'Ingresos Diarios'!$C$27:$C$1026,$A7,'Ingresos Diarios'!$A$27:$A$1026,"&gt;="&amp;Listas!$L$6,'Ingresos Diarios'!$A$27:$A$1026,"&lt;="&amp;Listas!$M$6)</f>
        <v>0</v>
      </c>
      <c r="D7" s="27">
        <f>SUMIFS('Ingresos Diarios'!$H$27:$H$1026,'Ingresos Diarios'!$C$27:$C$1026,$A7,'Ingresos Diarios'!$A$27:$A$1026,"&gt;="&amp;Listas!$L$7,'Ingresos Diarios'!$A$27:$A$1026,"&lt;="&amp;Listas!$M$7)</f>
        <v>0</v>
      </c>
      <c r="E7" s="36">
        <f t="shared" si="1"/>
        <v>27227</v>
      </c>
      <c r="F7" s="41">
        <f t="shared" si="2"/>
        <v>0.9889411545</v>
      </c>
      <c r="G7" s="2"/>
      <c r="H7" s="2"/>
    </row>
    <row r="8" ht="15.0" customHeight="1">
      <c r="A8" s="19" t="s">
        <v>102</v>
      </c>
      <c r="B8" s="20">
        <v>64.0</v>
      </c>
      <c r="C8" s="27">
        <f>SUMIFS('Ingresos Diarios'!$H$27:$H$1026,'Ingresos Diarios'!$C$27:$C$1026,$A8,'Ingresos Diarios'!$A$27:$A$1026,"&gt;="&amp;Listas!$L$6,'Ingresos Diarios'!$A$27:$A$1026,"&lt;="&amp;Listas!$M$6)</f>
        <v>0</v>
      </c>
      <c r="D8" s="27">
        <f>SUMIFS('Ingresos Diarios'!$H$27:$H$1026,'Ingresos Diarios'!$C$27:$C$1026,$A8,'Ingresos Diarios'!$A$27:$A$1026,"&gt;="&amp;Listas!$L$7,'Ingresos Diarios'!$A$27:$A$1026,"&lt;="&amp;Listas!$M$7)</f>
        <v>0</v>
      </c>
      <c r="E8" s="36">
        <f t="shared" si="1"/>
        <v>64</v>
      </c>
      <c r="F8" s="41">
        <f t="shared" si="2"/>
        <v>0.002324612843</v>
      </c>
      <c r="G8" s="2"/>
      <c r="H8" s="2"/>
    </row>
    <row r="9" ht="15.0" customHeight="1">
      <c r="A9" s="19" t="s">
        <v>110</v>
      </c>
      <c r="B9" s="27">
        <f>SUMIFS('Ingresos Diarios'!$H$27:$H$1026,'Ingresos Diarios'!$C$27:$C$1026,$A9,'Ingresos Diarios'!$A$27:$A$1026,"&gt;="&amp;Listas!$L$5,'Ingresos Diarios'!$A$27:$A$1026,"&lt;="&amp;Listas!$M$5)</f>
        <v>20</v>
      </c>
      <c r="C9" s="27">
        <f>SUMIFS('Ingresos Diarios'!$H$27:$H$1026,'Ingresos Diarios'!$C$27:$C$1026,$A9,'Ingresos Diarios'!$A$27:$A$1026,"&gt;="&amp;Listas!$L$6,'Ingresos Diarios'!$A$27:$A$1026,"&lt;="&amp;Listas!$M$6)</f>
        <v>0</v>
      </c>
      <c r="D9" s="27">
        <f>SUMIFS('Ingresos Diarios'!$H$27:$H$1026,'Ingresos Diarios'!$C$27:$C$1026,$A9,'Ingresos Diarios'!$A$27:$A$1026,"&gt;="&amp;Listas!$L$7,'Ingresos Diarios'!$A$27:$A$1026,"&lt;="&amp;Listas!$M$7)</f>
        <v>0</v>
      </c>
      <c r="E9" s="36">
        <f t="shared" si="1"/>
        <v>20</v>
      </c>
      <c r="F9" s="41">
        <f t="shared" si="2"/>
        <v>0.0007264415136</v>
      </c>
      <c r="G9" s="2"/>
      <c r="H9" s="2"/>
    </row>
    <row r="10" ht="15.0" customHeight="1">
      <c r="A10" s="51" t="s">
        <v>119</v>
      </c>
      <c r="B10" s="54">
        <f t="shared" ref="B10:E10" si="3">SUM(B5:B9)</f>
        <v>27531.46623</v>
      </c>
      <c r="C10" s="54">
        <f t="shared" si="3"/>
        <v>0</v>
      </c>
      <c r="D10" s="54">
        <f t="shared" si="3"/>
        <v>0</v>
      </c>
      <c r="E10" s="54">
        <f t="shared" si="3"/>
        <v>27531.46623</v>
      </c>
      <c r="F10" s="58">
        <f t="shared" si="2"/>
        <v>1</v>
      </c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 ht="30.0" customHeight="1">
      <c r="A12" s="4" t="s">
        <v>124</v>
      </c>
      <c r="B12" s="10" t="str">
        <f>Listas!$K$5</f>
        <v>Octubre 2026</v>
      </c>
      <c r="C12" s="10" t="str">
        <f>Listas!$K$6</f>
        <v>Noviembre 2026</v>
      </c>
      <c r="D12" s="10" t="str">
        <f>Listas!$K$7</f>
        <v>Diciembre 2026</v>
      </c>
      <c r="E12" s="18" t="s">
        <v>27</v>
      </c>
      <c r="F12" s="18" t="s">
        <v>28</v>
      </c>
      <c r="G12" s="2"/>
      <c r="H12" s="2"/>
    </row>
    <row r="13" ht="15.0" customHeight="1">
      <c r="A13" s="19" t="s">
        <v>94</v>
      </c>
      <c r="B13" s="20">
        <v>2167.0</v>
      </c>
      <c r="C13" s="27">
        <f>SUMIFS('Gastos Diarios'!$F$35:$F$1049,'Gastos Diarios'!$B$35:$B$1049,$A13,'Gastos Diarios'!$A$35:$A$1049,"&gt;="&amp;Listas!$L$6,'Gastos Diarios'!$A$35:$A$1049,"&lt;="&amp;Listas!$M$6)</f>
        <v>0</v>
      </c>
      <c r="D13" s="27">
        <f>SUMIFS('Gastos Diarios'!$F$35:$F$1049,'Gastos Diarios'!$B$35:$B$1049,$A13,'Gastos Diarios'!$A$35:$A$1049,"&gt;="&amp;Listas!$L$7,'Gastos Diarios'!$A$35:$A$1049,"&lt;="&amp;Listas!$M$7)</f>
        <v>0</v>
      </c>
      <c r="E13" s="36">
        <f t="shared" ref="E13:E24" si="4">SUM(B13:D13)</f>
        <v>2167</v>
      </c>
      <c r="F13" s="41">
        <f t="shared" ref="F13:F25" si="5">IF($E$25=0,0,E13/$E$25)</f>
        <v>0.05677233429</v>
      </c>
      <c r="G13" s="2"/>
      <c r="H13" s="2"/>
    </row>
    <row r="14" ht="15.0" customHeight="1">
      <c r="A14" s="19" t="s">
        <v>82</v>
      </c>
      <c r="B14" s="20">
        <v>564.0</v>
      </c>
      <c r="C14" s="27">
        <f>SUMIFS('Gastos Diarios'!$F$35:$F$1049,'Gastos Diarios'!$B$35:$B$1049,$A14,'Gastos Diarios'!$A$35:$A$1049,"&gt;="&amp;Listas!$L$6,'Gastos Diarios'!$A$35:$A$1049,"&lt;="&amp;Listas!$M$6)</f>
        <v>0</v>
      </c>
      <c r="D14" s="27">
        <f>SUMIFS('Gastos Diarios'!$F$35:$F$1049,'Gastos Diarios'!$B$35:$B$1049,$A14,'Gastos Diarios'!$A$35:$A$1049,"&gt;="&amp;Listas!$L$7,'Gastos Diarios'!$A$35:$A$1049,"&lt;="&amp;Listas!$M$7)</f>
        <v>0</v>
      </c>
      <c r="E14" s="36">
        <f t="shared" si="4"/>
        <v>564</v>
      </c>
      <c r="F14" s="41">
        <f t="shared" si="5"/>
        <v>0.0147760021</v>
      </c>
      <c r="G14" s="2"/>
      <c r="H14" s="2"/>
    </row>
    <row r="15" ht="15.0" customHeight="1">
      <c r="A15" s="19" t="s">
        <v>149</v>
      </c>
      <c r="B15" s="20">
        <v>2825.0</v>
      </c>
      <c r="C15" s="27">
        <f>SUMIFS('Gastos Diarios'!$F$35:$F$1049,'Gastos Diarios'!$B$35:$B$1049,$A15,'Gastos Diarios'!$A$35:$A$1049,"&gt;="&amp;Listas!$L$6,'Gastos Diarios'!$A$35:$A$1049,"&lt;="&amp;Listas!$M$6)</f>
        <v>0</v>
      </c>
      <c r="D15" s="27">
        <f>SUMIFS('Gastos Diarios'!$F$35:$F$1049,'Gastos Diarios'!$B$35:$B$1049,$A15,'Gastos Diarios'!$A$35:$A$1049,"&gt;="&amp;Listas!$L$7,'Gastos Diarios'!$A$35:$A$1049,"&lt;="&amp;Listas!$M$7)</f>
        <v>0</v>
      </c>
      <c r="E15" s="36">
        <f t="shared" si="4"/>
        <v>2825</v>
      </c>
      <c r="F15" s="41">
        <f t="shared" si="5"/>
        <v>0.07401100341</v>
      </c>
      <c r="G15" s="2"/>
      <c r="H15" s="2"/>
    </row>
    <row r="16" ht="15.0" customHeight="1">
      <c r="A16" s="19" t="s">
        <v>88</v>
      </c>
      <c r="B16" s="20">
        <v>3548.0</v>
      </c>
      <c r="C16" s="27">
        <f>SUMIFS('Gastos Diarios'!$F$35:$F$1049,'Gastos Diarios'!$B$35:$B$1049,$A16,'Gastos Diarios'!$A$35:$A$1049,"&gt;="&amp;Listas!$L$6,'Gastos Diarios'!$A$35:$A$1049,"&lt;="&amp;Listas!$M$6)</f>
        <v>0</v>
      </c>
      <c r="D16" s="27">
        <f>SUMIFS('Gastos Diarios'!$F$35:$F$1049,'Gastos Diarios'!$B$35:$B$1049,$A16,'Gastos Diarios'!$A$35:$A$1049,"&gt;="&amp;Listas!$L$7,'Gastos Diarios'!$A$35:$A$1049,"&lt;="&amp;Listas!$M$7)</f>
        <v>0</v>
      </c>
      <c r="E16" s="36">
        <f t="shared" si="4"/>
        <v>3548</v>
      </c>
      <c r="F16" s="41">
        <f t="shared" si="5"/>
        <v>0.09295258056</v>
      </c>
      <c r="G16" s="2"/>
      <c r="H16" s="2"/>
    </row>
    <row r="17" ht="15.0" customHeight="1">
      <c r="A17" s="19" t="s">
        <v>16</v>
      </c>
      <c r="B17" s="20">
        <v>469.0</v>
      </c>
      <c r="C17" s="27">
        <f>SUMIFS('Gastos Diarios'!$F$35:$F$1049,'Gastos Diarios'!$B$35:$B$1049,$A17,'Gastos Diarios'!$A$35:$A$1049,"&gt;="&amp;Listas!$L$6,'Gastos Diarios'!$A$35:$A$1049,"&lt;="&amp;Listas!$M$6)</f>
        <v>0</v>
      </c>
      <c r="D17" s="27">
        <f>SUMIFS('Gastos Diarios'!$F$35:$F$1049,'Gastos Diarios'!$B$35:$B$1049,$A17,'Gastos Diarios'!$A$35:$A$1049,"&gt;="&amp;Listas!$L$7,'Gastos Diarios'!$A$35:$A$1049,"&lt;="&amp;Listas!$M$7)</f>
        <v>0</v>
      </c>
      <c r="E17" s="36">
        <f t="shared" si="4"/>
        <v>469</v>
      </c>
      <c r="F17" s="41">
        <f t="shared" si="5"/>
        <v>0.01228713649</v>
      </c>
      <c r="G17" s="2"/>
      <c r="H17" s="2"/>
    </row>
    <row r="18" ht="15.0" customHeight="1">
      <c r="A18" s="19" t="s">
        <v>79</v>
      </c>
      <c r="B18" s="20">
        <v>542.0</v>
      </c>
      <c r="C18" s="27">
        <f>SUMIFS('Gastos Diarios'!$F$35:$F$1049,'Gastos Diarios'!$B$35:$B$1049,$A18,'Gastos Diarios'!$A$35:$A$1049,"&gt;="&amp;Listas!$L$6,'Gastos Diarios'!$A$35:$A$1049,"&lt;="&amp;Listas!$M$6)</f>
        <v>0</v>
      </c>
      <c r="D18" s="27">
        <f>SUMIFS('Gastos Diarios'!$F$35:$F$1049,'Gastos Diarios'!$B$35:$B$1049,$A18,'Gastos Diarios'!$A$35:$A$1049,"&gt;="&amp;Listas!$L$7,'Gastos Diarios'!$A$35:$A$1049,"&lt;="&amp;Listas!$M$7)</f>
        <v>0</v>
      </c>
      <c r="E18" s="36">
        <f t="shared" si="4"/>
        <v>542</v>
      </c>
      <c r="F18" s="41">
        <f t="shared" si="5"/>
        <v>0.01419963322</v>
      </c>
      <c r="G18" s="2"/>
      <c r="H18" s="2"/>
    </row>
    <row r="19" ht="15.0" customHeight="1">
      <c r="A19" s="19" t="s">
        <v>9</v>
      </c>
      <c r="B19" s="20">
        <v>8662.0</v>
      </c>
      <c r="C19" s="27">
        <f>SUMIFS('Gastos Diarios'!$F$35:$F$1049,'Gastos Diarios'!$B$35:$B$1049,$A19,'Gastos Diarios'!$A$35:$A$1049,"&gt;="&amp;Listas!$L$6,'Gastos Diarios'!$A$35:$A$1049,"&lt;="&amp;Listas!$M$6)</f>
        <v>0</v>
      </c>
      <c r="D19" s="27">
        <f>SUMIFS('Gastos Diarios'!$F$35:$F$1049,'Gastos Diarios'!$B$35:$B$1049,$A19,'Gastos Diarios'!$A$35:$A$1049,"&gt;="&amp;Listas!$L$7,'Gastos Diarios'!$A$35:$A$1049,"&lt;="&amp;Listas!$M$7)</f>
        <v>0</v>
      </c>
      <c r="E19" s="36">
        <f t="shared" si="4"/>
        <v>8662</v>
      </c>
      <c r="F19" s="41">
        <f t="shared" si="5"/>
        <v>0.2269321457</v>
      </c>
      <c r="G19" s="2"/>
      <c r="H19" s="2"/>
    </row>
    <row r="20" ht="15.0" customHeight="1">
      <c r="A20" s="19" t="s">
        <v>76</v>
      </c>
      <c r="B20" s="20">
        <v>321.0</v>
      </c>
      <c r="C20" s="27">
        <f>SUMIFS('Gastos Diarios'!$F$35:$F$1049,'Gastos Diarios'!$B$35:$B$1049,$A20,'Gastos Diarios'!$A$35:$A$1049,"&gt;="&amp;Listas!$L$6,'Gastos Diarios'!$A$35:$A$1049,"&lt;="&amp;Listas!$M$6)</f>
        <v>0</v>
      </c>
      <c r="D20" s="27">
        <f>SUMIFS('Gastos Diarios'!$F$35:$F$1049,'Gastos Diarios'!$B$35:$B$1049,$A20,'Gastos Diarios'!$A$35:$A$1049,"&gt;="&amp;Listas!$L$7,'Gastos Diarios'!$A$35:$A$1049,"&lt;="&amp;Listas!$M$7)</f>
        <v>0</v>
      </c>
      <c r="E20" s="36">
        <f t="shared" si="4"/>
        <v>321</v>
      </c>
      <c r="F20" s="41">
        <f t="shared" si="5"/>
        <v>0.008409745874</v>
      </c>
      <c r="G20" s="2"/>
      <c r="H20" s="2"/>
    </row>
    <row r="21" ht="15.0" customHeight="1">
      <c r="A21" s="19" t="s">
        <v>174</v>
      </c>
      <c r="B21" s="20">
        <v>8000.0</v>
      </c>
      <c r="C21" s="27">
        <f>SUMIFS('Gastos Diarios'!$F$35:$F$1049,'Gastos Diarios'!$B$35:$B$1049,$A21,'Gastos Diarios'!$A$35:$A$1049,"&gt;="&amp;Listas!$L$6,'Gastos Diarios'!$A$35:$A$1049,"&lt;="&amp;Listas!$M$6)</f>
        <v>0</v>
      </c>
      <c r="D21" s="27">
        <f>SUMIFS('Gastos Diarios'!$F$35:$F$1049,'Gastos Diarios'!$B$35:$B$1049,$A21,'Gastos Diarios'!$A$35:$A$1049,"&gt;="&amp;Listas!$L$7,'Gastos Diarios'!$A$35:$A$1049,"&lt;="&amp;Listas!$M$7)</f>
        <v>0</v>
      </c>
      <c r="E21" s="36">
        <f t="shared" si="4"/>
        <v>8000</v>
      </c>
      <c r="F21" s="41">
        <f t="shared" si="5"/>
        <v>0.2095886822</v>
      </c>
      <c r="G21" s="2"/>
      <c r="H21" s="2"/>
    </row>
    <row r="22" ht="15.0" customHeight="1">
      <c r="A22" s="19" t="s">
        <v>155</v>
      </c>
      <c r="B22" s="20">
        <v>2588.0</v>
      </c>
      <c r="C22" s="27">
        <f>SUMIFS('Gastos Diarios'!$F$35:$F$1049,'Gastos Diarios'!$B$35:$B$1049,$A22,'Gastos Diarios'!$A$35:$A$1049,"&gt;="&amp;Listas!$L$6,'Gastos Diarios'!$A$35:$A$1049,"&lt;="&amp;Listas!$M$6)</f>
        <v>0</v>
      </c>
      <c r="D22" s="27">
        <f>SUMIFS('Gastos Diarios'!$F$35:$F$1049,'Gastos Diarios'!$B$35:$B$1049,$A22,'Gastos Diarios'!$A$35:$A$1049,"&gt;="&amp;Listas!$L$7,'Gastos Diarios'!$A$35:$A$1049,"&lt;="&amp;Listas!$M$7)</f>
        <v>0</v>
      </c>
      <c r="E22" s="36">
        <f t="shared" si="4"/>
        <v>2588</v>
      </c>
      <c r="F22" s="41">
        <f t="shared" si="5"/>
        <v>0.0678019387</v>
      </c>
      <c r="G22" s="2"/>
      <c r="H22" s="2"/>
    </row>
    <row r="23" ht="15.0" customHeight="1">
      <c r="A23" s="19" t="s">
        <v>69</v>
      </c>
      <c r="B23" s="20">
        <v>2194.0</v>
      </c>
      <c r="C23" s="27">
        <f>SUMIFS('Gastos Diarios'!$F$35:$F$1049,'Gastos Diarios'!$B$35:$B$1049,$A23,'Gastos Diarios'!$A$35:$A$1049,"&gt;="&amp;Listas!$L$6,'Gastos Diarios'!$A$35:$A$1049,"&lt;="&amp;Listas!$M$6)</f>
        <v>0</v>
      </c>
      <c r="D23" s="27">
        <f>SUMIFS('Gastos Diarios'!$F$35:$F$1049,'Gastos Diarios'!$B$35:$B$1049,$A23,'Gastos Diarios'!$A$35:$A$1049,"&gt;="&amp;Listas!$L$7,'Gastos Diarios'!$A$35:$A$1049,"&lt;="&amp;Listas!$M$7)</f>
        <v>0</v>
      </c>
      <c r="E23" s="36">
        <f t="shared" si="4"/>
        <v>2194</v>
      </c>
      <c r="F23" s="41">
        <f t="shared" si="5"/>
        <v>0.0574796961</v>
      </c>
      <c r="G23" s="2"/>
      <c r="H23" s="2"/>
    </row>
    <row r="24" ht="15.0" customHeight="1">
      <c r="A24" s="19" t="s">
        <v>63</v>
      </c>
      <c r="B24" s="20">
        <v>6290.0</v>
      </c>
      <c r="C24" s="27">
        <f>SUMIFS('Gastos Diarios'!$F$35:$F$1049,'Gastos Diarios'!$B$35:$B$1049,$A24,'Gastos Diarios'!$A$35:$A$1049,"&gt;="&amp;Listas!$L$6,'Gastos Diarios'!$A$35:$A$1049,"&lt;="&amp;Listas!$M$6)</f>
        <v>0</v>
      </c>
      <c r="D24" s="27">
        <f>SUMIFS('Gastos Diarios'!$F$35:$F$1049,'Gastos Diarios'!$B$35:$B$1049,$A24,'Gastos Diarios'!$A$35:$A$1049,"&gt;="&amp;Listas!$L$7,'Gastos Diarios'!$A$35:$A$1049,"&lt;="&amp;Listas!$M$7)</f>
        <v>0</v>
      </c>
      <c r="E24" s="36">
        <f t="shared" si="4"/>
        <v>6290</v>
      </c>
      <c r="F24" s="41">
        <f t="shared" si="5"/>
        <v>0.1647891014</v>
      </c>
      <c r="G24" s="2"/>
      <c r="H24" s="2"/>
    </row>
    <row r="25" ht="15.0" customHeight="1">
      <c r="A25" s="51" t="s">
        <v>193</v>
      </c>
      <c r="B25" s="54">
        <f t="shared" ref="B25:E25" si="6">SUM(B13:B24)</f>
        <v>38170</v>
      </c>
      <c r="C25" s="54">
        <f t="shared" si="6"/>
        <v>0</v>
      </c>
      <c r="D25" s="54">
        <f t="shared" si="6"/>
        <v>0</v>
      </c>
      <c r="E25" s="54">
        <f t="shared" si="6"/>
        <v>38170</v>
      </c>
      <c r="F25" s="58">
        <f t="shared" si="5"/>
        <v>1</v>
      </c>
      <c r="G25" s="2"/>
      <c r="H25" s="2"/>
    </row>
    <row r="26" ht="15.75" customHeight="1">
      <c r="A26" s="2"/>
      <c r="B26" s="2"/>
      <c r="C26" s="2"/>
      <c r="D26" s="2"/>
      <c r="E26" s="2"/>
      <c r="F26" s="2"/>
      <c r="G26" s="2"/>
      <c r="H26" s="2"/>
    </row>
    <row r="27" ht="30.0" customHeight="1">
      <c r="A27" s="4" t="s">
        <v>197</v>
      </c>
      <c r="B27" s="10" t="str">
        <f>Listas!$K$5</f>
        <v>Octubre 2026</v>
      </c>
      <c r="C27" s="10" t="str">
        <f>Listas!$K$6</f>
        <v>Noviembre 2026</v>
      </c>
      <c r="D27" s="10" t="str">
        <f>Listas!$K$7</f>
        <v>Diciembre 2026</v>
      </c>
      <c r="E27" s="18" t="s">
        <v>27</v>
      </c>
      <c r="F27" s="18"/>
      <c r="G27" s="2"/>
      <c r="H27" s="2"/>
    </row>
    <row r="28" ht="15.0" customHeight="1">
      <c r="A28" s="16" t="s">
        <v>201</v>
      </c>
      <c r="B28" s="65">
        <f t="shared" ref="B28:E28" si="7">B10-B25</f>
        <v>-10638.53377</v>
      </c>
      <c r="C28" s="65">
        <f t="shared" si="7"/>
        <v>0</v>
      </c>
      <c r="D28" s="65">
        <f t="shared" si="7"/>
        <v>0</v>
      </c>
      <c r="E28" s="65">
        <f t="shared" si="7"/>
        <v>-10638.53377</v>
      </c>
      <c r="F28" s="2"/>
      <c r="G28" s="2"/>
      <c r="H28" s="2"/>
    </row>
    <row r="29" ht="15.0" customHeight="1">
      <c r="A29" s="66" t="s">
        <v>204</v>
      </c>
      <c r="B29" s="41">
        <f t="shared" ref="B29:E29" si="8">IF(B10=0,0,B28/B10)</f>
        <v>-0.3864136287</v>
      </c>
      <c r="C29" s="41">
        <f t="shared" si="8"/>
        <v>0</v>
      </c>
      <c r="D29" s="41">
        <f t="shared" si="8"/>
        <v>0</v>
      </c>
      <c r="E29" s="41">
        <f t="shared" si="8"/>
        <v>-0.3864136287</v>
      </c>
      <c r="F29" s="2"/>
      <c r="G29" s="2"/>
      <c r="H29" s="2"/>
    </row>
    <row r="30" ht="15.75" customHeight="1">
      <c r="A30" s="67"/>
      <c r="B30" s="67"/>
      <c r="C30" s="67"/>
      <c r="D30" s="67"/>
      <c r="E30" s="67"/>
      <c r="F30" s="67"/>
      <c r="G30" s="2"/>
      <c r="H30" s="2"/>
    </row>
    <row r="31" ht="30.0" customHeight="1">
      <c r="A31" s="68"/>
      <c r="B31" s="69"/>
      <c r="C31" s="69"/>
      <c r="D31" s="69"/>
      <c r="E31" s="70"/>
      <c r="F31" s="70"/>
      <c r="G31" s="70"/>
      <c r="H31" s="70"/>
    </row>
    <row r="32" ht="15.0" customHeight="1">
      <c r="A32" s="71"/>
      <c r="B32" s="27"/>
      <c r="C32" s="27"/>
      <c r="D32" s="27"/>
      <c r="E32" s="36"/>
      <c r="F32" s="41"/>
      <c r="G32" s="72"/>
      <c r="H32" s="41"/>
    </row>
    <row r="33" ht="15.0" customHeight="1">
      <c r="A33" s="71"/>
      <c r="B33" s="27"/>
      <c r="C33" s="27"/>
      <c r="D33" s="27"/>
      <c r="E33" s="36"/>
      <c r="F33" s="41"/>
      <c r="G33" s="72"/>
      <c r="H33" s="41"/>
    </row>
    <row r="34" ht="15.0" customHeight="1">
      <c r="A34" s="71"/>
      <c r="B34" s="27"/>
      <c r="C34" s="27"/>
      <c r="D34" s="27"/>
      <c r="E34" s="36"/>
      <c r="F34" s="41"/>
      <c r="G34" s="72"/>
      <c r="H34" s="41"/>
    </row>
    <row r="35" ht="15.0" customHeight="1">
      <c r="A35" s="71"/>
      <c r="B35" s="27"/>
      <c r="C35" s="27"/>
      <c r="D35" s="27"/>
      <c r="E35" s="36"/>
      <c r="F35" s="41"/>
      <c r="G35" s="72"/>
      <c r="H35" s="41"/>
    </row>
    <row r="36" ht="15.0" customHeight="1">
      <c r="A36" s="71"/>
      <c r="B36" s="27"/>
      <c r="C36" s="27"/>
      <c r="D36" s="27"/>
      <c r="E36" s="36"/>
      <c r="F36" s="41"/>
      <c r="G36" s="72"/>
      <c r="H36" s="41"/>
    </row>
    <row r="37" ht="15.0" customHeight="1">
      <c r="A37" s="71"/>
      <c r="B37" s="27"/>
      <c r="C37" s="27"/>
      <c r="D37" s="27"/>
      <c r="E37" s="36"/>
      <c r="F37" s="41"/>
      <c r="G37" s="72"/>
      <c r="H37" s="41"/>
    </row>
    <row r="38" ht="15.0" customHeight="1">
      <c r="A38" s="71"/>
      <c r="B38" s="27"/>
      <c r="C38" s="27"/>
      <c r="D38" s="27"/>
      <c r="E38" s="36"/>
      <c r="F38" s="41"/>
      <c r="G38" s="72"/>
      <c r="H38" s="41"/>
    </row>
    <row r="39" ht="15.0" customHeight="1">
      <c r="A39" s="71"/>
      <c r="B39" s="27"/>
      <c r="C39" s="27"/>
      <c r="D39" s="27"/>
      <c r="E39" s="36"/>
      <c r="F39" s="41"/>
      <c r="G39" s="72"/>
      <c r="H39" s="41"/>
    </row>
    <row r="40" ht="15.0" customHeight="1">
      <c r="A40" s="71"/>
      <c r="B40" s="27"/>
      <c r="C40" s="27"/>
      <c r="D40" s="27"/>
      <c r="E40" s="36"/>
      <c r="F40" s="41"/>
      <c r="G40" s="72"/>
      <c r="H40" s="41"/>
    </row>
    <row r="41" ht="15.0" customHeight="1">
      <c r="A41" s="71"/>
      <c r="B41" s="27"/>
      <c r="C41" s="27"/>
      <c r="D41" s="27"/>
      <c r="E41" s="36"/>
      <c r="F41" s="41"/>
      <c r="G41" s="72"/>
      <c r="H41" s="41"/>
    </row>
    <row r="42" ht="15.0" customHeight="1">
      <c r="A42" s="71"/>
      <c r="B42" s="27"/>
      <c r="C42" s="27"/>
      <c r="D42" s="27"/>
      <c r="E42" s="36"/>
      <c r="F42" s="41"/>
      <c r="G42" s="72"/>
      <c r="H42" s="41"/>
    </row>
    <row r="43" ht="15.0" customHeight="1">
      <c r="A43" s="71"/>
      <c r="B43" s="27"/>
      <c r="C43" s="27"/>
      <c r="D43" s="27"/>
      <c r="E43" s="36"/>
      <c r="F43" s="41"/>
      <c r="G43" s="72"/>
      <c r="H43" s="41"/>
    </row>
    <row r="44" ht="15.0" customHeight="1">
      <c r="A44" s="71"/>
      <c r="B44" s="27"/>
      <c r="C44" s="27"/>
      <c r="D44" s="27"/>
      <c r="E44" s="36"/>
      <c r="F44" s="41"/>
      <c r="G44" s="72"/>
      <c r="H44" s="41"/>
    </row>
    <row r="45" ht="15.0" customHeight="1">
      <c r="A45" s="71"/>
      <c r="B45" s="27"/>
      <c r="C45" s="27"/>
      <c r="D45" s="27"/>
      <c r="E45" s="36"/>
      <c r="F45" s="41"/>
      <c r="G45" s="72"/>
      <c r="H45" s="41"/>
    </row>
    <row r="46" ht="15.0" customHeight="1">
      <c r="A46" s="16"/>
      <c r="B46" s="36"/>
      <c r="C46" s="36"/>
      <c r="D46" s="36"/>
      <c r="E46" s="36"/>
      <c r="F46" s="73"/>
      <c r="G46" s="74"/>
      <c r="H46" s="73"/>
    </row>
    <row r="47" ht="15.0" customHeight="1">
      <c r="A47" s="14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</sheetData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3.0"/>
    <col customWidth="1" min="2" max="2" width="32.0"/>
    <col customWidth="1" min="3" max="3" width="38.0"/>
    <col customWidth="1" min="4" max="4" width="33.0"/>
    <col customWidth="1" min="5" max="5" width="24.71"/>
    <col customWidth="1" min="6" max="6" width="15.0"/>
    <col customWidth="1" min="7" max="7" width="24.0"/>
    <col customWidth="1" min="8" max="26" width="8.71"/>
  </cols>
  <sheetData>
    <row r="1" ht="19.5" customHeight="1">
      <c r="A1" s="1" t="s">
        <v>2</v>
      </c>
      <c r="B1" s="2"/>
      <c r="C1" s="2"/>
      <c r="D1" s="2"/>
      <c r="E1" s="2"/>
      <c r="F1" s="2"/>
      <c r="G1" s="2"/>
    </row>
    <row r="2" ht="15.0" customHeight="1">
      <c r="A2" s="3" t="s">
        <v>6</v>
      </c>
      <c r="B2" s="2"/>
      <c r="C2" s="2"/>
      <c r="D2" s="2"/>
      <c r="E2" s="2"/>
      <c r="F2" s="2"/>
      <c r="G2" s="2"/>
    </row>
    <row r="3" ht="15.0" customHeight="1">
      <c r="A3" s="6">
        <v>46300.0</v>
      </c>
      <c r="B3" s="9" t="s">
        <v>9</v>
      </c>
      <c r="C3" s="9" t="s">
        <v>15</v>
      </c>
      <c r="D3" s="9" t="s">
        <v>17</v>
      </c>
      <c r="E3" s="9" t="s">
        <v>19</v>
      </c>
      <c r="F3" s="12">
        <v>185.5</v>
      </c>
      <c r="G3" s="9" t="s">
        <v>23</v>
      </c>
      <c r="H3" s="14" t="s">
        <v>25</v>
      </c>
    </row>
    <row r="4" ht="15.0" customHeight="1">
      <c r="A4" s="16" t="s">
        <v>26</v>
      </c>
      <c r="B4" s="22">
        <f>COUNT(A35:A1049)</f>
        <v>100</v>
      </c>
      <c r="C4" s="2"/>
      <c r="D4" s="2"/>
      <c r="E4" s="23" t="s">
        <v>31</v>
      </c>
      <c r="F4" s="24">
        <f>SUM(F35:F1049)</f>
        <v>29452.74735</v>
      </c>
      <c r="G4" s="2"/>
    </row>
    <row r="5" ht="30.0" customHeight="1">
      <c r="A5" s="4" t="s">
        <v>33</v>
      </c>
      <c r="B5" s="18" t="s">
        <v>37</v>
      </c>
      <c r="C5" s="18" t="s">
        <v>36</v>
      </c>
      <c r="D5" s="18" t="s">
        <v>47</v>
      </c>
      <c r="E5" s="18" t="s">
        <v>48</v>
      </c>
      <c r="F5" s="18" t="s">
        <v>49</v>
      </c>
      <c r="G5" s="18" t="s">
        <v>50</v>
      </c>
    </row>
    <row r="6" ht="15.0" customHeight="1">
      <c r="A6" s="29">
        <v>46296.0</v>
      </c>
      <c r="B6" s="30" t="s">
        <v>9</v>
      </c>
      <c r="C6" s="30" t="s">
        <v>51</v>
      </c>
      <c r="D6" s="30" t="s">
        <v>52</v>
      </c>
      <c r="E6" s="30" t="s">
        <v>24</v>
      </c>
      <c r="F6" s="33">
        <v>246.0</v>
      </c>
      <c r="G6" s="30">
        <v>7392.0</v>
      </c>
      <c r="H6" s="37" t="s">
        <v>58</v>
      </c>
    </row>
    <row r="7" ht="15.0" customHeight="1">
      <c r="A7" s="29">
        <v>46296.0</v>
      </c>
      <c r="B7" s="30" t="s">
        <v>63</v>
      </c>
      <c r="C7" s="30" t="s">
        <v>65</v>
      </c>
      <c r="D7" s="30" t="s">
        <v>66</v>
      </c>
      <c r="E7" s="30" t="s">
        <v>24</v>
      </c>
      <c r="F7" s="33">
        <f>66120/430</f>
        <v>153.7674419</v>
      </c>
      <c r="G7" s="30">
        <v>64.0</v>
      </c>
      <c r="H7" s="37"/>
    </row>
    <row r="8" ht="15.0" customHeight="1">
      <c r="A8" s="29">
        <v>46296.0</v>
      </c>
      <c r="B8" s="30" t="s">
        <v>69</v>
      </c>
      <c r="C8" s="30" t="s">
        <v>70</v>
      </c>
      <c r="D8" s="30" t="s">
        <v>71</v>
      </c>
      <c r="E8" s="30" t="s">
        <v>19</v>
      </c>
      <c r="F8" s="33">
        <v>650.0</v>
      </c>
      <c r="G8" s="30">
        <v>15146.0</v>
      </c>
      <c r="H8" s="37"/>
    </row>
    <row r="9" ht="15.0" customHeight="1">
      <c r="A9" s="29">
        <v>46296.0</v>
      </c>
      <c r="B9" s="30" t="s">
        <v>69</v>
      </c>
      <c r="C9" s="30" t="s">
        <v>74</v>
      </c>
      <c r="D9" s="30" t="s">
        <v>71</v>
      </c>
      <c r="E9" s="30" t="s">
        <v>19</v>
      </c>
      <c r="F9" s="33">
        <v>289.68</v>
      </c>
      <c r="G9" s="30">
        <v>4799.0</v>
      </c>
      <c r="H9" s="37"/>
    </row>
    <row r="10" ht="15.0" customHeight="1">
      <c r="A10" s="29">
        <v>46296.0</v>
      </c>
      <c r="B10" s="30" t="s">
        <v>69</v>
      </c>
      <c r="C10" s="30" t="s">
        <v>75</v>
      </c>
      <c r="D10" s="30" t="s">
        <v>71</v>
      </c>
      <c r="E10" s="30" t="s">
        <v>19</v>
      </c>
      <c r="F10" s="33">
        <v>720.64</v>
      </c>
      <c r="G10" s="30">
        <v>4800.0</v>
      </c>
      <c r="H10" s="37"/>
    </row>
    <row r="11" ht="15.0" customHeight="1">
      <c r="A11" s="29">
        <v>46297.0</v>
      </c>
      <c r="B11" s="30" t="s">
        <v>76</v>
      </c>
      <c r="C11" s="30" t="s">
        <v>77</v>
      </c>
      <c r="D11" s="30" t="s">
        <v>78</v>
      </c>
      <c r="E11" s="30" t="s">
        <v>24</v>
      </c>
      <c r="F11" s="33">
        <v>82.9</v>
      </c>
      <c r="G11" s="30">
        <v>2243.0</v>
      </c>
      <c r="H11" s="37"/>
    </row>
    <row r="12" ht="15.0" customHeight="1">
      <c r="A12" s="29">
        <v>46297.0</v>
      </c>
      <c r="B12" s="30" t="s">
        <v>63</v>
      </c>
      <c r="C12" s="30" t="s">
        <v>65</v>
      </c>
      <c r="D12" s="30" t="s">
        <v>66</v>
      </c>
      <c r="E12" s="30" t="s">
        <v>24</v>
      </c>
      <c r="F12" s="33">
        <f t="shared" ref="F12:F13" si="1">217835/430</f>
        <v>506.5930233</v>
      </c>
      <c r="G12" s="30">
        <v>3268.0</v>
      </c>
      <c r="H12" s="37"/>
    </row>
    <row r="13" ht="15.0" customHeight="1">
      <c r="A13" s="29">
        <v>46297.0</v>
      </c>
      <c r="B13" s="30" t="s">
        <v>63</v>
      </c>
      <c r="C13" s="30" t="s">
        <v>65</v>
      </c>
      <c r="D13" s="30" t="s">
        <v>66</v>
      </c>
      <c r="E13" s="30" t="s">
        <v>24</v>
      </c>
      <c r="F13" s="33">
        <f t="shared" si="1"/>
        <v>506.5930233</v>
      </c>
      <c r="G13" s="30">
        <v>2692.0</v>
      </c>
      <c r="H13" s="37"/>
    </row>
    <row r="14" ht="15.0" customHeight="1">
      <c r="A14" s="29">
        <v>46297.0</v>
      </c>
      <c r="B14" s="30" t="s">
        <v>82</v>
      </c>
      <c r="C14" s="30" t="s">
        <v>83</v>
      </c>
      <c r="D14" s="30" t="s">
        <v>84</v>
      </c>
      <c r="E14" s="30" t="s">
        <v>24</v>
      </c>
      <c r="F14" s="33">
        <f>10712/430</f>
        <v>24.91162791</v>
      </c>
      <c r="G14" s="30">
        <v>3549.0</v>
      </c>
      <c r="H14" s="37"/>
    </row>
    <row r="15" ht="15.0" customHeight="1">
      <c r="A15" s="29">
        <v>46298.0</v>
      </c>
      <c r="B15" s="30" t="s">
        <v>88</v>
      </c>
      <c r="C15" s="30" t="s">
        <v>89</v>
      </c>
      <c r="D15" s="30" t="s">
        <v>90</v>
      </c>
      <c r="E15" s="30" t="s">
        <v>24</v>
      </c>
      <c r="F15" s="33">
        <f>4000/430</f>
        <v>9.302325581</v>
      </c>
      <c r="G15" s="30">
        <v>29847.0</v>
      </c>
      <c r="H15" s="37"/>
    </row>
    <row r="16" ht="15.0" customHeight="1">
      <c r="A16" s="29">
        <v>46299.0</v>
      </c>
      <c r="B16" s="30" t="s">
        <v>79</v>
      </c>
      <c r="C16" s="30" t="s">
        <v>91</v>
      </c>
      <c r="D16" s="30" t="s">
        <v>92</v>
      </c>
      <c r="E16" s="30" t="s">
        <v>24</v>
      </c>
      <c r="F16" s="33">
        <f>33930/430</f>
        <v>78.90697674</v>
      </c>
      <c r="G16" s="30">
        <v>2855.0</v>
      </c>
      <c r="H16" s="37"/>
    </row>
    <row r="17" ht="15.0" customHeight="1">
      <c r="A17" s="29">
        <v>46300.0</v>
      </c>
      <c r="B17" s="30" t="s">
        <v>94</v>
      </c>
      <c r="C17" s="30" t="s">
        <v>95</v>
      </c>
      <c r="D17" s="30" t="s">
        <v>96</v>
      </c>
      <c r="E17" s="30" t="s">
        <v>24</v>
      </c>
      <c r="F17" s="33">
        <f>52850/430</f>
        <v>122.9069767</v>
      </c>
      <c r="G17" s="30">
        <v>36124.0</v>
      </c>
      <c r="H17" s="37"/>
    </row>
    <row r="18" ht="15.0" customHeight="1">
      <c r="A18" s="29">
        <v>46300.0</v>
      </c>
      <c r="B18" s="30" t="s">
        <v>63</v>
      </c>
      <c r="C18" s="30" t="s">
        <v>98</v>
      </c>
      <c r="D18" s="30" t="s">
        <v>99</v>
      </c>
      <c r="E18" s="30" t="s">
        <v>24</v>
      </c>
      <c r="F18" s="33">
        <f>212440/430</f>
        <v>494.0465116</v>
      </c>
      <c r="G18" s="30">
        <v>292.0</v>
      </c>
      <c r="H18" s="37"/>
    </row>
    <row r="19" ht="15.0" customHeight="1">
      <c r="A19" s="29">
        <v>46300.0</v>
      </c>
      <c r="B19" s="30" t="s">
        <v>63</v>
      </c>
      <c r="C19" s="30" t="s">
        <v>65</v>
      </c>
      <c r="D19" s="30" t="s">
        <v>66</v>
      </c>
      <c r="E19" s="30" t="s">
        <v>24</v>
      </c>
      <c r="F19" s="33">
        <f>217835/430</f>
        <v>506.5930233</v>
      </c>
      <c r="G19" s="30">
        <v>102751.0</v>
      </c>
      <c r="H19" s="37"/>
    </row>
    <row r="20" ht="15.0" customHeight="1">
      <c r="A20" s="29">
        <v>46300.0</v>
      </c>
      <c r="B20" s="30" t="s">
        <v>9</v>
      </c>
      <c r="C20" s="30" t="s">
        <v>101</v>
      </c>
      <c r="D20" s="30" t="s">
        <v>78</v>
      </c>
      <c r="E20" s="30" t="s">
        <v>24</v>
      </c>
      <c r="F20" s="33">
        <f>122514/430</f>
        <v>284.9162791</v>
      </c>
      <c r="G20" s="30">
        <v>2243.0</v>
      </c>
      <c r="H20" s="37"/>
    </row>
    <row r="21" ht="15.0" customHeight="1">
      <c r="A21" s="29">
        <v>46300.0</v>
      </c>
      <c r="B21" s="30" t="s">
        <v>63</v>
      </c>
      <c r="C21" s="30" t="s">
        <v>65</v>
      </c>
      <c r="D21" s="30" t="s">
        <v>66</v>
      </c>
      <c r="E21" s="30" t="s">
        <v>24</v>
      </c>
      <c r="F21" s="33">
        <f>217835/430</f>
        <v>506.5930233</v>
      </c>
      <c r="G21" s="30">
        <v>3270.0</v>
      </c>
      <c r="H21" s="37"/>
    </row>
    <row r="22" ht="15.0" customHeight="1">
      <c r="A22" s="29">
        <v>46300.0</v>
      </c>
      <c r="B22" s="30" t="s">
        <v>63</v>
      </c>
      <c r="C22" s="30" t="s">
        <v>101</v>
      </c>
      <c r="D22" s="30" t="s">
        <v>103</v>
      </c>
      <c r="E22" s="30" t="s">
        <v>24</v>
      </c>
      <c r="F22" s="33">
        <f>223608.27/430</f>
        <v>520.0192326</v>
      </c>
      <c r="G22" s="30">
        <v>5905.0</v>
      </c>
      <c r="H22" s="37"/>
    </row>
    <row r="23" ht="15.0" customHeight="1">
      <c r="A23" s="29">
        <v>46300.0</v>
      </c>
      <c r="B23" s="30" t="s">
        <v>63</v>
      </c>
      <c r="C23" s="30" t="s">
        <v>101</v>
      </c>
      <c r="D23" s="30" t="s">
        <v>103</v>
      </c>
      <c r="E23" s="30" t="s">
        <v>24</v>
      </c>
      <c r="F23" s="33">
        <f>889202.16/430</f>
        <v>2067.912</v>
      </c>
      <c r="G23" s="30">
        <v>701.0</v>
      </c>
      <c r="H23" s="37"/>
    </row>
    <row r="24" ht="15.0" customHeight="1">
      <c r="A24" s="29">
        <v>46301.0</v>
      </c>
      <c r="B24" s="30" t="s">
        <v>9</v>
      </c>
      <c r="C24" s="30" t="s">
        <v>101</v>
      </c>
      <c r="D24" s="30" t="s">
        <v>108</v>
      </c>
      <c r="E24" s="30" t="s">
        <v>109</v>
      </c>
      <c r="F24" s="33">
        <f>474600/430</f>
        <v>1103.72093</v>
      </c>
      <c r="G24" s="30">
        <v>3215.0</v>
      </c>
      <c r="H24" s="37"/>
    </row>
    <row r="25" ht="15.0" customHeight="1">
      <c r="A25" s="29">
        <v>46301.0</v>
      </c>
      <c r="B25" s="30" t="s">
        <v>63</v>
      </c>
      <c r="C25" s="30" t="s">
        <v>98</v>
      </c>
      <c r="D25" s="30" t="s">
        <v>99</v>
      </c>
      <c r="E25" s="30" t="s">
        <v>24</v>
      </c>
      <c r="F25" s="33">
        <f>85831/430</f>
        <v>199.6069767</v>
      </c>
      <c r="G25" s="30">
        <v>40294.0</v>
      </c>
      <c r="H25" s="37"/>
    </row>
    <row r="26" ht="15.0" customHeight="1">
      <c r="A26" s="29">
        <v>46302.0</v>
      </c>
      <c r="B26" s="30" t="s">
        <v>94</v>
      </c>
      <c r="C26" s="30" t="s">
        <v>111</v>
      </c>
      <c r="D26" s="30" t="s">
        <v>112</v>
      </c>
      <c r="E26" s="30" t="s">
        <v>19</v>
      </c>
      <c r="F26" s="33">
        <f>40680/430</f>
        <v>94.60465116</v>
      </c>
      <c r="G26" s="30">
        <v>7932.0</v>
      </c>
      <c r="H26" s="37"/>
    </row>
    <row r="27" ht="15.0" customHeight="1">
      <c r="A27" s="29">
        <v>46302.0</v>
      </c>
      <c r="B27" s="30" t="s">
        <v>94</v>
      </c>
      <c r="C27" s="30" t="s">
        <v>95</v>
      </c>
      <c r="D27" s="30" t="s">
        <v>113</v>
      </c>
      <c r="E27" s="30" t="s">
        <v>24</v>
      </c>
      <c r="F27" s="33">
        <f>76543/430</f>
        <v>178.0069767</v>
      </c>
      <c r="G27" s="30">
        <v>4567.0</v>
      </c>
      <c r="H27" s="37"/>
    </row>
    <row r="28" ht="15.0" customHeight="1">
      <c r="A28" s="29">
        <v>46302.0</v>
      </c>
      <c r="B28" s="30" t="s">
        <v>94</v>
      </c>
      <c r="C28" s="30" t="s">
        <v>95</v>
      </c>
      <c r="D28" s="30" t="s">
        <v>113</v>
      </c>
      <c r="E28" s="30" t="s">
        <v>24</v>
      </c>
      <c r="F28" s="33">
        <f>56242.13/430</f>
        <v>130.7956512</v>
      </c>
      <c r="G28" s="30">
        <v>4567.0</v>
      </c>
      <c r="H28" s="37"/>
    </row>
    <row r="29" ht="15.0" customHeight="1">
      <c r="A29" s="29">
        <v>46302.0</v>
      </c>
      <c r="B29" s="30" t="s">
        <v>94</v>
      </c>
      <c r="C29" s="30" t="s">
        <v>95</v>
      </c>
      <c r="D29" s="30" t="s">
        <v>113</v>
      </c>
      <c r="E29" s="30" t="s">
        <v>24</v>
      </c>
      <c r="F29" s="33">
        <f>88163.05/430</f>
        <v>205.0303488</v>
      </c>
      <c r="G29" s="30">
        <v>4567.0</v>
      </c>
      <c r="H29" s="37"/>
    </row>
    <row r="30" ht="15.0" customHeight="1">
      <c r="A30" s="29">
        <v>46302.0</v>
      </c>
      <c r="B30" s="30" t="s">
        <v>9</v>
      </c>
      <c r="C30" s="30" t="s">
        <v>115</v>
      </c>
      <c r="D30" s="30" t="s">
        <v>116</v>
      </c>
      <c r="E30" s="30" t="s">
        <v>24</v>
      </c>
      <c r="F30" s="33">
        <f>12999/430</f>
        <v>30.23023256</v>
      </c>
      <c r="G30" s="30">
        <v>4980.0</v>
      </c>
      <c r="H30" s="37"/>
    </row>
    <row r="31" ht="15.0" customHeight="1">
      <c r="A31" s="29">
        <v>46302.0</v>
      </c>
      <c r="B31" s="30" t="s">
        <v>63</v>
      </c>
      <c r="C31" s="30" t="s">
        <v>98</v>
      </c>
      <c r="D31" s="30" t="s">
        <v>92</v>
      </c>
      <c r="E31" s="30" t="s">
        <v>24</v>
      </c>
      <c r="F31" s="33">
        <f>50670/430</f>
        <v>117.8372093</v>
      </c>
      <c r="G31" s="30">
        <v>1307.0</v>
      </c>
      <c r="H31" s="37"/>
    </row>
    <row r="32" ht="15.0" customHeight="1">
      <c r="A32" s="29">
        <v>46302.0</v>
      </c>
      <c r="B32" s="30" t="s">
        <v>63</v>
      </c>
      <c r="C32" s="30" t="s">
        <v>98</v>
      </c>
      <c r="D32" s="30" t="s">
        <v>117</v>
      </c>
      <c r="E32" s="30" t="s">
        <v>24</v>
      </c>
      <c r="F32" s="33">
        <f>85900/430</f>
        <v>199.7674419</v>
      </c>
      <c r="G32" s="30">
        <v>20597.0</v>
      </c>
      <c r="H32" s="37"/>
    </row>
    <row r="33" ht="15.0" customHeight="1">
      <c r="A33" s="29">
        <v>46305.0</v>
      </c>
      <c r="B33" s="30" t="s">
        <v>94</v>
      </c>
      <c r="C33" s="30" t="s">
        <v>120</v>
      </c>
      <c r="D33" s="30" t="s">
        <v>121</v>
      </c>
      <c r="E33" s="30" t="s">
        <v>109</v>
      </c>
      <c r="F33" s="55">
        <f>7000/459</f>
        <v>15.25054466</v>
      </c>
      <c r="G33" s="30">
        <v>44560.0</v>
      </c>
    </row>
    <row r="34" ht="15.0" customHeight="1">
      <c r="A34" s="29">
        <v>46305.0</v>
      </c>
      <c r="B34" s="30" t="s">
        <v>94</v>
      </c>
      <c r="C34" s="30" t="s">
        <v>120</v>
      </c>
      <c r="D34" s="30" t="s">
        <v>121</v>
      </c>
      <c r="E34" s="30" t="s">
        <v>109</v>
      </c>
      <c r="F34" s="55">
        <f>9300/459</f>
        <v>20.26143791</v>
      </c>
      <c r="G34" s="30">
        <v>61880.0</v>
      </c>
    </row>
    <row r="35" ht="15.0" customHeight="1">
      <c r="A35" s="29">
        <v>46307.0</v>
      </c>
      <c r="B35" s="30" t="s">
        <v>94</v>
      </c>
      <c r="C35" s="30" t="s">
        <v>95</v>
      </c>
      <c r="D35" s="30" t="s">
        <v>96</v>
      </c>
      <c r="E35" s="30" t="s">
        <v>19</v>
      </c>
      <c r="F35" s="55">
        <f>64435/430</f>
        <v>149.8488372</v>
      </c>
      <c r="G35" s="30">
        <v>1167.0</v>
      </c>
    </row>
    <row r="36" ht="15.0" customHeight="1">
      <c r="A36" s="29">
        <v>46307.0</v>
      </c>
      <c r="B36" s="30" t="s">
        <v>88</v>
      </c>
      <c r="C36" s="30" t="s">
        <v>126</v>
      </c>
      <c r="D36" s="30" t="s">
        <v>127</v>
      </c>
      <c r="E36" s="30" t="s">
        <v>109</v>
      </c>
      <c r="F36" s="33">
        <f>200000/430</f>
        <v>465.1162791</v>
      </c>
      <c r="G36" s="30">
        <v>162721.0</v>
      </c>
    </row>
    <row r="37" ht="15.0" customHeight="1">
      <c r="A37" s="29">
        <v>46307.0</v>
      </c>
      <c r="B37" s="30" t="s">
        <v>94</v>
      </c>
      <c r="C37" s="30" t="s">
        <v>120</v>
      </c>
      <c r="D37" s="30" t="s">
        <v>129</v>
      </c>
      <c r="E37" s="30" t="s">
        <v>24</v>
      </c>
      <c r="F37" s="33">
        <f>1900/459</f>
        <v>4.139433551</v>
      </c>
      <c r="G37" s="30">
        <v>624971.0</v>
      </c>
    </row>
    <row r="38" ht="15.0" customHeight="1">
      <c r="A38" s="29">
        <v>46307.0</v>
      </c>
      <c r="B38" s="30" t="s">
        <v>94</v>
      </c>
      <c r="C38" s="30" t="s">
        <v>95</v>
      </c>
      <c r="D38" s="30" t="s">
        <v>113</v>
      </c>
      <c r="E38" s="30" t="s">
        <v>19</v>
      </c>
      <c r="F38" s="55">
        <f>101799.78/430</f>
        <v>236.7436744</v>
      </c>
      <c r="G38" s="30">
        <v>259324.0</v>
      </c>
    </row>
    <row r="39" ht="15.0" customHeight="1">
      <c r="A39" s="29">
        <v>46307.0</v>
      </c>
      <c r="B39" s="30" t="s">
        <v>76</v>
      </c>
      <c r="C39" s="30" t="s">
        <v>101</v>
      </c>
      <c r="D39" s="30" t="s">
        <v>78</v>
      </c>
      <c r="E39" s="30" t="s">
        <v>24</v>
      </c>
      <c r="F39" s="55">
        <f>102452.96/430</f>
        <v>238.2626977</v>
      </c>
      <c r="G39" s="30">
        <v>9999.0</v>
      </c>
    </row>
    <row r="40" ht="15.0" customHeight="1">
      <c r="A40" s="29">
        <v>46307.0</v>
      </c>
      <c r="B40" s="30" t="s">
        <v>69</v>
      </c>
      <c r="C40" s="30" t="s">
        <v>138</v>
      </c>
      <c r="D40" s="30" t="s">
        <v>139</v>
      </c>
      <c r="E40" s="30" t="s">
        <v>109</v>
      </c>
      <c r="F40" s="55">
        <f>18650/459</f>
        <v>40.63180828</v>
      </c>
      <c r="G40" s="30">
        <v>70375.0</v>
      </c>
    </row>
    <row r="41" ht="15.0" customHeight="1">
      <c r="A41" s="42">
        <v>46308.0</v>
      </c>
      <c r="B41" s="30" t="s">
        <v>63</v>
      </c>
      <c r="C41" s="30" t="s">
        <v>141</v>
      </c>
      <c r="D41" s="30" t="s">
        <v>92</v>
      </c>
      <c r="E41" s="30" t="s">
        <v>24</v>
      </c>
      <c r="F41" s="55">
        <f>17650/430</f>
        <v>41.04651163</v>
      </c>
      <c r="G41" s="30">
        <v>4665.0</v>
      </c>
    </row>
    <row r="42" ht="15.0" customHeight="1">
      <c r="A42" s="42">
        <v>46308.0</v>
      </c>
      <c r="B42" s="30" t="s">
        <v>88</v>
      </c>
      <c r="C42" s="30" t="s">
        <v>143</v>
      </c>
      <c r="D42" s="30" t="s">
        <v>144</v>
      </c>
      <c r="E42" s="30" t="s">
        <v>109</v>
      </c>
      <c r="F42" s="55">
        <f>62100/430</f>
        <v>144.4186047</v>
      </c>
      <c r="G42" s="30">
        <v>1307.0</v>
      </c>
    </row>
    <row r="43" ht="15.0" customHeight="1">
      <c r="A43" s="42">
        <v>46308.0</v>
      </c>
      <c r="B43" s="30" t="s">
        <v>94</v>
      </c>
      <c r="C43" s="30" t="s">
        <v>120</v>
      </c>
      <c r="D43" s="30" t="s">
        <v>139</v>
      </c>
      <c r="E43" s="30" t="s">
        <v>24</v>
      </c>
      <c r="F43" s="55">
        <f>17000/459</f>
        <v>37.03703704</v>
      </c>
      <c r="G43" s="30">
        <v>70399.0</v>
      </c>
    </row>
    <row r="44" ht="15.0" customHeight="1">
      <c r="A44" s="42">
        <v>46308.0</v>
      </c>
      <c r="B44" s="30" t="s">
        <v>94</v>
      </c>
      <c r="C44" s="30" t="s">
        <v>120</v>
      </c>
      <c r="D44" s="30" t="s">
        <v>147</v>
      </c>
      <c r="E44" s="30" t="s">
        <v>24</v>
      </c>
      <c r="F44" s="55">
        <f>17650/459</f>
        <v>38.45315904</v>
      </c>
      <c r="G44" s="30">
        <v>5274.0</v>
      </c>
    </row>
    <row r="45" ht="15.0" customHeight="1">
      <c r="A45" s="42">
        <v>46309.0</v>
      </c>
      <c r="B45" s="30" t="s">
        <v>82</v>
      </c>
      <c r="C45" s="30" t="s">
        <v>83</v>
      </c>
      <c r="D45" s="30" t="s">
        <v>90</v>
      </c>
      <c r="E45" s="30" t="s">
        <v>109</v>
      </c>
      <c r="F45" s="55">
        <f>10527/459</f>
        <v>22.93464052</v>
      </c>
      <c r="G45" s="30">
        <v>52754.0</v>
      </c>
    </row>
    <row r="46" ht="15.0" customHeight="1">
      <c r="A46" s="42">
        <v>46309.0</v>
      </c>
      <c r="B46" s="30" t="s">
        <v>63</v>
      </c>
      <c r="C46" s="30" t="s">
        <v>65</v>
      </c>
      <c r="D46" s="30" t="s">
        <v>152</v>
      </c>
      <c r="E46" s="30" t="s">
        <v>24</v>
      </c>
      <c r="F46" s="33">
        <v>7.17</v>
      </c>
      <c r="G46" s="30">
        <v>536.0</v>
      </c>
    </row>
    <row r="47" ht="15.0" customHeight="1">
      <c r="A47" s="42">
        <v>46309.0</v>
      </c>
      <c r="B47" s="30" t="s">
        <v>16</v>
      </c>
      <c r="C47" s="30" t="s">
        <v>153</v>
      </c>
      <c r="D47" s="30" t="s">
        <v>154</v>
      </c>
      <c r="E47" s="30" t="s">
        <v>24</v>
      </c>
      <c r="F47" s="55">
        <f>203224/459</f>
        <v>442.7538126</v>
      </c>
      <c r="G47" s="30">
        <v>11724.0</v>
      </c>
    </row>
    <row r="48" ht="15.0" customHeight="1">
      <c r="A48" s="42">
        <v>46309.0</v>
      </c>
      <c r="B48" s="30" t="s">
        <v>155</v>
      </c>
      <c r="C48" s="30" t="s">
        <v>156</v>
      </c>
      <c r="D48" s="30" t="s">
        <v>157</v>
      </c>
      <c r="E48" s="30" t="s">
        <v>24</v>
      </c>
      <c r="F48" s="55">
        <f>152470/459</f>
        <v>332.1786492</v>
      </c>
      <c r="G48" s="30">
        <v>75655.0</v>
      </c>
    </row>
    <row r="49" ht="15.0" customHeight="1">
      <c r="A49" s="42">
        <v>46309.0</v>
      </c>
      <c r="B49" s="30" t="s">
        <v>155</v>
      </c>
      <c r="C49" s="30" t="s">
        <v>156</v>
      </c>
      <c r="D49" s="30" t="s">
        <v>157</v>
      </c>
      <c r="E49" s="30" t="s">
        <v>24</v>
      </c>
      <c r="F49" s="55">
        <f>78580/459</f>
        <v>171.1982571</v>
      </c>
      <c r="G49" s="30">
        <v>75671.0</v>
      </c>
    </row>
    <row r="50" ht="15.0" customHeight="1">
      <c r="A50" s="42">
        <v>46309.0</v>
      </c>
      <c r="B50" s="30" t="s">
        <v>155</v>
      </c>
      <c r="C50" s="30" t="s">
        <v>156</v>
      </c>
      <c r="D50" s="30" t="s">
        <v>157</v>
      </c>
      <c r="E50" s="30" t="s">
        <v>24</v>
      </c>
      <c r="F50" s="55">
        <f>159500/459</f>
        <v>347.4945534</v>
      </c>
      <c r="G50" s="30">
        <v>75704.0</v>
      </c>
    </row>
    <row r="51" ht="15.0" customHeight="1">
      <c r="A51" s="42">
        <v>46309.0</v>
      </c>
      <c r="B51" s="30" t="s">
        <v>155</v>
      </c>
      <c r="C51" s="30" t="s">
        <v>156</v>
      </c>
      <c r="D51" s="30" t="s">
        <v>157</v>
      </c>
      <c r="E51" s="30" t="s">
        <v>24</v>
      </c>
      <c r="F51" s="55">
        <f>50940/459</f>
        <v>110.9803922</v>
      </c>
      <c r="G51" s="30">
        <v>75672.0</v>
      </c>
    </row>
    <row r="52" ht="15.0" customHeight="1">
      <c r="A52" s="42">
        <v>46309.0</v>
      </c>
      <c r="B52" s="30" t="s">
        <v>155</v>
      </c>
      <c r="C52" s="30" t="s">
        <v>156</v>
      </c>
      <c r="D52" s="30" t="s">
        <v>157</v>
      </c>
      <c r="E52" s="30" t="s">
        <v>24</v>
      </c>
      <c r="F52" s="55">
        <f>54335/459</f>
        <v>118.3769063</v>
      </c>
      <c r="G52" s="30">
        <v>75679.0</v>
      </c>
    </row>
    <row r="53" ht="15.0" customHeight="1">
      <c r="A53" s="42">
        <v>46309.0</v>
      </c>
      <c r="B53" s="30" t="s">
        <v>155</v>
      </c>
      <c r="C53" s="30" t="s">
        <v>156</v>
      </c>
      <c r="D53" s="30" t="s">
        <v>157</v>
      </c>
      <c r="E53" s="30" t="s">
        <v>24</v>
      </c>
      <c r="F53" s="55">
        <f t="shared" ref="F53:F56" si="2">4615/459</f>
        <v>10.05446623</v>
      </c>
      <c r="G53" s="30">
        <v>75654.0</v>
      </c>
    </row>
    <row r="54" ht="15.0" customHeight="1">
      <c r="A54" s="42">
        <v>46309.0</v>
      </c>
      <c r="B54" s="30" t="s">
        <v>155</v>
      </c>
      <c r="C54" s="30" t="s">
        <v>156</v>
      </c>
      <c r="D54" s="30" t="s">
        <v>157</v>
      </c>
      <c r="E54" s="30" t="s">
        <v>24</v>
      </c>
      <c r="F54" s="55">
        <f t="shared" si="2"/>
        <v>10.05446623</v>
      </c>
      <c r="G54" s="30">
        <v>75657.0</v>
      </c>
    </row>
    <row r="55" ht="15.0" customHeight="1">
      <c r="A55" s="42">
        <v>46309.0</v>
      </c>
      <c r="B55" s="30" t="s">
        <v>155</v>
      </c>
      <c r="C55" s="30" t="s">
        <v>156</v>
      </c>
      <c r="D55" s="30" t="s">
        <v>157</v>
      </c>
      <c r="E55" s="30" t="s">
        <v>24</v>
      </c>
      <c r="F55" s="55">
        <f t="shared" si="2"/>
        <v>10.05446623</v>
      </c>
      <c r="G55" s="30">
        <v>75658.0</v>
      </c>
    </row>
    <row r="56" ht="15.0" customHeight="1">
      <c r="A56" s="42">
        <v>46309.0</v>
      </c>
      <c r="B56" s="30" t="s">
        <v>155</v>
      </c>
      <c r="C56" s="30" t="s">
        <v>156</v>
      </c>
      <c r="D56" s="30" t="s">
        <v>157</v>
      </c>
      <c r="E56" s="30" t="s">
        <v>24</v>
      </c>
      <c r="F56" s="55">
        <f t="shared" si="2"/>
        <v>10.05446623</v>
      </c>
      <c r="G56" s="30">
        <v>75667.0</v>
      </c>
    </row>
    <row r="57" ht="15.0" customHeight="1">
      <c r="A57" s="42">
        <v>46309.0</v>
      </c>
      <c r="B57" s="30" t="s">
        <v>155</v>
      </c>
      <c r="C57" s="30" t="s">
        <v>156</v>
      </c>
      <c r="D57" s="30" t="s">
        <v>157</v>
      </c>
      <c r="E57" s="30" t="s">
        <v>24</v>
      </c>
      <c r="F57" s="55">
        <f>91460/459</f>
        <v>199.2592593</v>
      </c>
      <c r="G57" s="30">
        <v>75700.0</v>
      </c>
    </row>
    <row r="58" ht="15.0" customHeight="1">
      <c r="A58" s="42">
        <v>46309.0</v>
      </c>
      <c r="B58" s="30" t="s">
        <v>155</v>
      </c>
      <c r="C58" s="30" t="s">
        <v>156</v>
      </c>
      <c r="D58" s="30" t="s">
        <v>157</v>
      </c>
      <c r="E58" s="30" t="s">
        <v>24</v>
      </c>
      <c r="F58" s="55">
        <f>70850/459</f>
        <v>154.3572985</v>
      </c>
      <c r="G58" s="30">
        <v>75709.0</v>
      </c>
    </row>
    <row r="59" ht="15.0" customHeight="1">
      <c r="A59" s="42">
        <v>46309.0</v>
      </c>
      <c r="B59" s="30" t="s">
        <v>155</v>
      </c>
      <c r="C59" s="30" t="s">
        <v>156</v>
      </c>
      <c r="D59" s="30" t="s">
        <v>157</v>
      </c>
      <c r="E59" s="30" t="s">
        <v>24</v>
      </c>
      <c r="F59" s="55">
        <f>4615/459</f>
        <v>10.05446623</v>
      </c>
      <c r="G59" s="30">
        <v>75717.0</v>
      </c>
    </row>
    <row r="60" ht="15.0" customHeight="1">
      <c r="A60" s="42">
        <v>46309.0</v>
      </c>
      <c r="B60" s="30" t="s">
        <v>155</v>
      </c>
      <c r="C60" s="30" t="s">
        <v>156</v>
      </c>
      <c r="D60" s="30" t="s">
        <v>157</v>
      </c>
      <c r="E60" s="30" t="s">
        <v>24</v>
      </c>
      <c r="F60" s="55">
        <f>101880/459</f>
        <v>221.9607843</v>
      </c>
      <c r="G60" s="30">
        <v>75724.0</v>
      </c>
    </row>
    <row r="61" ht="15.0" customHeight="1">
      <c r="A61" s="42">
        <v>46309.0</v>
      </c>
      <c r="B61" s="30" t="s">
        <v>155</v>
      </c>
      <c r="C61" s="30" t="s">
        <v>156</v>
      </c>
      <c r="D61" s="30" t="s">
        <v>157</v>
      </c>
      <c r="E61" s="30" t="s">
        <v>24</v>
      </c>
      <c r="F61" s="55">
        <f>14520/459</f>
        <v>31.63398693</v>
      </c>
      <c r="G61" s="30">
        <v>75691.0</v>
      </c>
    </row>
    <row r="62" ht="15.0" customHeight="1">
      <c r="A62" s="42">
        <v>46309.0</v>
      </c>
      <c r="B62" s="30" t="s">
        <v>155</v>
      </c>
      <c r="C62" s="30" t="s">
        <v>156</v>
      </c>
      <c r="D62" s="30" t="s">
        <v>157</v>
      </c>
      <c r="E62" s="30" t="s">
        <v>24</v>
      </c>
      <c r="F62" s="55">
        <f>89350/459</f>
        <v>194.6623094</v>
      </c>
      <c r="G62" s="30">
        <v>75751.0</v>
      </c>
    </row>
    <row r="63" ht="15.0" customHeight="1">
      <c r="A63" s="42">
        <v>46309.0</v>
      </c>
      <c r="B63" s="30" t="s">
        <v>9</v>
      </c>
      <c r="C63" s="30" t="s">
        <v>101</v>
      </c>
      <c r="D63" s="30" t="s">
        <v>168</v>
      </c>
      <c r="E63" s="30" t="s">
        <v>24</v>
      </c>
      <c r="F63" s="55">
        <f>787831.4/459</f>
        <v>1716.408279</v>
      </c>
      <c r="G63" s="30">
        <v>23899.0</v>
      </c>
    </row>
    <row r="64" ht="15.0" customHeight="1">
      <c r="A64" s="42">
        <v>46309.0</v>
      </c>
      <c r="B64" s="30" t="s">
        <v>9</v>
      </c>
      <c r="C64" s="30" t="s">
        <v>101</v>
      </c>
      <c r="D64" s="30" t="s">
        <v>168</v>
      </c>
      <c r="E64" s="30" t="s">
        <v>24</v>
      </c>
      <c r="F64" s="55">
        <f>677797.48/459</f>
        <v>1476.682963</v>
      </c>
      <c r="G64" s="30">
        <v>23898.0</v>
      </c>
    </row>
    <row r="65" ht="15.0" customHeight="1">
      <c r="A65" s="42">
        <v>46309.0</v>
      </c>
      <c r="B65" s="30" t="s">
        <v>9</v>
      </c>
      <c r="C65" s="30" t="s">
        <v>101</v>
      </c>
      <c r="D65" s="30" t="s">
        <v>168</v>
      </c>
      <c r="E65" s="30" t="s">
        <v>24</v>
      </c>
      <c r="F65" s="33">
        <f>14212.57/459</f>
        <v>30.96420479</v>
      </c>
      <c r="G65" s="30">
        <v>23900.0</v>
      </c>
    </row>
    <row r="66" ht="15.0" customHeight="1">
      <c r="A66" s="42">
        <v>46309.0</v>
      </c>
      <c r="B66" s="30" t="s">
        <v>9</v>
      </c>
      <c r="C66" s="30" t="s">
        <v>101</v>
      </c>
      <c r="D66" s="30" t="s">
        <v>168</v>
      </c>
      <c r="E66" s="30" t="s">
        <v>24</v>
      </c>
      <c r="F66" s="55">
        <f>280383.48/459</f>
        <v>610.8572549</v>
      </c>
      <c r="G66" s="30">
        <v>23904.0</v>
      </c>
    </row>
    <row r="67" ht="15.0" customHeight="1">
      <c r="A67" s="42">
        <v>46309.0</v>
      </c>
      <c r="B67" s="30" t="s">
        <v>63</v>
      </c>
      <c r="C67" s="30" t="s">
        <v>175</v>
      </c>
      <c r="D67" s="30" t="s">
        <v>176</v>
      </c>
      <c r="E67" s="30" t="s">
        <v>19</v>
      </c>
      <c r="F67" s="55">
        <f>150612/459</f>
        <v>328.130719</v>
      </c>
      <c r="G67" s="30">
        <v>10972.0</v>
      </c>
    </row>
    <row r="68" ht="15.0" customHeight="1">
      <c r="A68" s="42">
        <v>46309.0</v>
      </c>
      <c r="B68" s="30" t="s">
        <v>88</v>
      </c>
      <c r="C68" s="30" t="s">
        <v>178</v>
      </c>
      <c r="D68" s="30" t="s">
        <v>179</v>
      </c>
      <c r="E68" s="30" t="s">
        <v>19</v>
      </c>
      <c r="F68" s="55">
        <f t="shared" ref="F68:F70" si="3">209812.75/459</f>
        <v>457.1083878</v>
      </c>
      <c r="G68" s="30">
        <v>66.0</v>
      </c>
    </row>
    <row r="69" ht="15.0" customHeight="1">
      <c r="A69" s="42">
        <v>46309.0</v>
      </c>
      <c r="B69" s="30" t="s">
        <v>88</v>
      </c>
      <c r="C69" s="30" t="s">
        <v>178</v>
      </c>
      <c r="D69" s="30" t="s">
        <v>179</v>
      </c>
      <c r="E69" s="30" t="s">
        <v>19</v>
      </c>
      <c r="F69" s="55">
        <f t="shared" si="3"/>
        <v>457.1083878</v>
      </c>
      <c r="G69" s="30">
        <v>3.0</v>
      </c>
    </row>
    <row r="70" ht="15.0" customHeight="1">
      <c r="A70" s="42">
        <v>46309.0</v>
      </c>
      <c r="B70" s="30" t="s">
        <v>88</v>
      </c>
      <c r="C70" s="30" t="s">
        <v>178</v>
      </c>
      <c r="D70" s="30" t="s">
        <v>179</v>
      </c>
      <c r="E70" s="30" t="s">
        <v>19</v>
      </c>
      <c r="F70" s="55">
        <f t="shared" si="3"/>
        <v>457.1083878</v>
      </c>
      <c r="G70" s="30">
        <v>67.0</v>
      </c>
    </row>
    <row r="71" ht="15.0" customHeight="1">
      <c r="A71" s="42">
        <v>46309.0</v>
      </c>
      <c r="B71" s="30" t="s">
        <v>94</v>
      </c>
      <c r="C71" s="30" t="s">
        <v>120</v>
      </c>
      <c r="D71" s="30" t="s">
        <v>182</v>
      </c>
      <c r="E71" s="30" t="s">
        <v>24</v>
      </c>
      <c r="F71" s="55">
        <f>3288.82/459</f>
        <v>7.165185185</v>
      </c>
      <c r="G71" s="30">
        <v>408.0</v>
      </c>
    </row>
    <row r="72" ht="15.0" customHeight="1">
      <c r="A72" s="42">
        <v>46309.0</v>
      </c>
      <c r="B72" s="30" t="s">
        <v>155</v>
      </c>
      <c r="C72" s="30" t="s">
        <v>156</v>
      </c>
      <c r="D72" s="30" t="s">
        <v>157</v>
      </c>
      <c r="E72" s="30" t="s">
        <v>24</v>
      </c>
      <c r="F72" s="55">
        <f>107390/459</f>
        <v>233.9651416</v>
      </c>
      <c r="G72" s="30">
        <v>75767.0</v>
      </c>
    </row>
    <row r="73" ht="15.0" customHeight="1">
      <c r="A73" s="42">
        <v>46309.0</v>
      </c>
      <c r="B73" s="30" t="s">
        <v>94</v>
      </c>
      <c r="C73" s="30" t="s">
        <v>120</v>
      </c>
      <c r="D73" s="30" t="s">
        <v>184</v>
      </c>
      <c r="E73" s="30" t="s">
        <v>109</v>
      </c>
      <c r="F73" s="33">
        <f>56430/459</f>
        <v>122.9411765</v>
      </c>
      <c r="G73" s="30">
        <v>90990.0</v>
      </c>
    </row>
    <row r="74" ht="15.0" customHeight="1">
      <c r="A74" s="42">
        <v>46309.0</v>
      </c>
      <c r="B74" s="30" t="s">
        <v>155</v>
      </c>
      <c r="C74" s="30" t="s">
        <v>156</v>
      </c>
      <c r="D74" s="30" t="s">
        <v>157</v>
      </c>
      <c r="E74" s="30" t="s">
        <v>24</v>
      </c>
      <c r="F74" s="55">
        <f>142750/459</f>
        <v>311.0021786</v>
      </c>
      <c r="G74" s="30">
        <v>75798.0</v>
      </c>
    </row>
    <row r="75" ht="15.0" customHeight="1">
      <c r="A75" s="42">
        <v>46309.0</v>
      </c>
      <c r="B75" s="30" t="s">
        <v>155</v>
      </c>
      <c r="C75" s="30" t="s">
        <v>156</v>
      </c>
      <c r="D75" s="30" t="s">
        <v>157</v>
      </c>
      <c r="E75" s="30" t="s">
        <v>24</v>
      </c>
      <c r="F75" s="55">
        <f>38175/459</f>
        <v>83.16993464</v>
      </c>
      <c r="G75" s="30">
        <v>75664.0</v>
      </c>
    </row>
    <row r="76" ht="15.0" customHeight="1">
      <c r="A76" s="42">
        <v>46309.0</v>
      </c>
      <c r="B76" s="30" t="s">
        <v>94</v>
      </c>
      <c r="C76" s="30" t="s">
        <v>120</v>
      </c>
      <c r="D76" s="30" t="s">
        <v>184</v>
      </c>
      <c r="E76" s="30" t="s">
        <v>24</v>
      </c>
      <c r="F76" s="55">
        <f>56430/459</f>
        <v>122.9411765</v>
      </c>
      <c r="G76" s="30">
        <v>69220.0</v>
      </c>
    </row>
    <row r="77" ht="15.0" customHeight="1">
      <c r="A77" s="42">
        <v>46310.0</v>
      </c>
      <c r="B77" s="30" t="s">
        <v>174</v>
      </c>
      <c r="C77" s="30" t="s">
        <v>189</v>
      </c>
      <c r="D77" s="30" t="s">
        <v>127</v>
      </c>
      <c r="E77" s="30" t="s">
        <v>19</v>
      </c>
      <c r="F77" s="33">
        <v>8000.0</v>
      </c>
      <c r="G77" s="30">
        <v>100.0</v>
      </c>
    </row>
    <row r="78" ht="15.0" customHeight="1">
      <c r="A78" s="42">
        <v>46310.0</v>
      </c>
      <c r="B78" s="30" t="s">
        <v>155</v>
      </c>
      <c r="C78" s="30" t="s">
        <v>191</v>
      </c>
      <c r="D78" s="30" t="s">
        <v>157</v>
      </c>
      <c r="E78" s="30" t="s">
        <v>24</v>
      </c>
      <c r="F78" s="55">
        <f>12740.71/459</f>
        <v>27.75753813</v>
      </c>
      <c r="G78" s="30">
        <v>2769.0</v>
      </c>
    </row>
    <row r="79" ht="15.0" customHeight="1">
      <c r="A79" s="42">
        <v>46310.0</v>
      </c>
      <c r="B79" s="30" t="s">
        <v>9</v>
      </c>
      <c r="C79" s="30" t="s">
        <v>101</v>
      </c>
      <c r="D79" s="30" t="s">
        <v>168</v>
      </c>
      <c r="E79" s="30" t="s">
        <v>19</v>
      </c>
      <c r="F79" s="55">
        <f>719719.63/459</f>
        <v>1568.016623</v>
      </c>
      <c r="G79" s="30">
        <v>5041.0</v>
      </c>
    </row>
    <row r="80" ht="15.0" customHeight="1">
      <c r="A80" s="42">
        <v>46310.0</v>
      </c>
      <c r="B80" s="30" t="s">
        <v>9</v>
      </c>
      <c r="C80" s="30" t="s">
        <v>101</v>
      </c>
      <c r="D80" s="30" t="s">
        <v>195</v>
      </c>
      <c r="E80" s="30" t="s">
        <v>24</v>
      </c>
      <c r="F80" s="55">
        <f>145175.08/459</f>
        <v>316.2855773</v>
      </c>
      <c r="G80" s="30">
        <v>48418.0</v>
      </c>
    </row>
    <row r="81" ht="15.0" customHeight="1">
      <c r="A81" s="42">
        <v>46310.0</v>
      </c>
      <c r="B81" s="30" t="s">
        <v>149</v>
      </c>
      <c r="C81" s="30" t="s">
        <v>198</v>
      </c>
      <c r="D81" s="30" t="s">
        <v>199</v>
      </c>
      <c r="E81" s="30" t="s">
        <v>24</v>
      </c>
      <c r="F81" s="33">
        <v>2824.59</v>
      </c>
      <c r="G81" s="30">
        <v>321547.0</v>
      </c>
    </row>
    <row r="82" ht="15.0" customHeight="1">
      <c r="A82" s="42">
        <v>46311.0</v>
      </c>
      <c r="B82" s="30" t="s">
        <v>9</v>
      </c>
      <c r="C82" s="30" t="s">
        <v>101</v>
      </c>
      <c r="D82" s="30" t="s">
        <v>168</v>
      </c>
      <c r="E82" s="30" t="s">
        <v>19</v>
      </c>
      <c r="F82" s="55">
        <f>221122.45/459</f>
        <v>481.7482571</v>
      </c>
      <c r="G82" s="30">
        <v>24013.0</v>
      </c>
    </row>
    <row r="83" ht="15.0" customHeight="1">
      <c r="A83" s="42">
        <v>46311.0</v>
      </c>
      <c r="B83" s="30" t="s">
        <v>82</v>
      </c>
      <c r="C83" s="30" t="s">
        <v>83</v>
      </c>
      <c r="D83" s="30" t="s">
        <v>90</v>
      </c>
      <c r="E83" s="30" t="s">
        <v>24</v>
      </c>
      <c r="F83" s="55">
        <f>186522/459</f>
        <v>406.3660131</v>
      </c>
      <c r="G83" s="30">
        <v>53007.0</v>
      </c>
    </row>
    <row r="84" ht="15.0" customHeight="1">
      <c r="A84" s="42">
        <v>46311.0</v>
      </c>
      <c r="B84" s="30" t="s">
        <v>9</v>
      </c>
      <c r="C84" s="30" t="s">
        <v>101</v>
      </c>
      <c r="D84" s="30" t="s">
        <v>195</v>
      </c>
      <c r="E84" s="30" t="s">
        <v>24</v>
      </c>
      <c r="F84" s="55">
        <f>110247.07/459</f>
        <v>240.189695</v>
      </c>
      <c r="G84" s="30">
        <v>8442.0</v>
      </c>
    </row>
    <row r="85" ht="15.0" customHeight="1">
      <c r="A85" s="42">
        <v>46311.0</v>
      </c>
      <c r="B85" s="30" t="s">
        <v>94</v>
      </c>
      <c r="C85" s="30" t="s">
        <v>120</v>
      </c>
      <c r="D85" s="30" t="s">
        <v>206</v>
      </c>
      <c r="E85" s="30" t="s">
        <v>24</v>
      </c>
      <c r="F85" s="55">
        <f>8815/459</f>
        <v>19.20479303</v>
      </c>
      <c r="G85" s="30">
        <v>2603.0</v>
      </c>
    </row>
    <row r="86" ht="15.0" customHeight="1">
      <c r="A86" s="42">
        <v>46311.0</v>
      </c>
      <c r="B86" s="30" t="s">
        <v>88</v>
      </c>
      <c r="C86" s="30" t="s">
        <v>208</v>
      </c>
      <c r="D86" s="30" t="s">
        <v>209</v>
      </c>
      <c r="E86" s="30" t="s">
        <v>24</v>
      </c>
      <c r="F86" s="55">
        <f>20502.72/459</f>
        <v>44.66823529</v>
      </c>
      <c r="G86" s="30">
        <v>555.0</v>
      </c>
    </row>
    <row r="87" ht="15.0" customHeight="1">
      <c r="A87" s="42">
        <v>46311.0</v>
      </c>
      <c r="B87" s="30" t="s">
        <v>9</v>
      </c>
      <c r="C87" s="30" t="s">
        <v>211</v>
      </c>
      <c r="D87" s="30" t="s">
        <v>139</v>
      </c>
      <c r="E87" s="30" t="s">
        <v>24</v>
      </c>
      <c r="F87" s="55">
        <f>90200/459</f>
        <v>196.5141612</v>
      </c>
      <c r="G87" s="30">
        <v>457.0</v>
      </c>
    </row>
    <row r="88" ht="15.0" customHeight="1">
      <c r="A88" s="42">
        <v>46311.0</v>
      </c>
      <c r="B88" s="30" t="s">
        <v>94</v>
      </c>
      <c r="C88" s="30" t="s">
        <v>120</v>
      </c>
      <c r="D88" s="30" t="s">
        <v>129</v>
      </c>
      <c r="E88" s="30" t="s">
        <v>24</v>
      </c>
      <c r="F88" s="55">
        <f>2750/459</f>
        <v>5.991285403</v>
      </c>
      <c r="G88" s="30">
        <v>6448.0</v>
      </c>
    </row>
    <row r="89" ht="15.0" customHeight="1">
      <c r="A89" s="42">
        <v>46311.0</v>
      </c>
      <c r="B89" s="30" t="s">
        <v>79</v>
      </c>
      <c r="C89" s="30" t="s">
        <v>98</v>
      </c>
      <c r="D89" s="30" t="s">
        <v>214</v>
      </c>
      <c r="E89" s="30" t="s">
        <v>19</v>
      </c>
      <c r="F89" s="55">
        <f>212440/459</f>
        <v>462.832244</v>
      </c>
      <c r="G89" s="30">
        <v>2370.0</v>
      </c>
    </row>
    <row r="90" ht="15.0" customHeight="1">
      <c r="A90" s="42">
        <v>46311.0</v>
      </c>
      <c r="B90" s="30" t="s">
        <v>94</v>
      </c>
      <c r="C90" s="30" t="s">
        <v>215</v>
      </c>
      <c r="D90" s="30" t="s">
        <v>113</v>
      </c>
      <c r="E90" s="30" t="s">
        <v>24</v>
      </c>
      <c r="F90" s="55">
        <f>5482.35/459</f>
        <v>11.94411765</v>
      </c>
      <c r="G90" s="30">
        <v>4567.0</v>
      </c>
    </row>
    <row r="91" ht="15.0" customHeight="1">
      <c r="A91" s="42">
        <v>46312.0</v>
      </c>
      <c r="B91" s="30" t="s">
        <v>88</v>
      </c>
      <c r="C91" s="30" t="s">
        <v>217</v>
      </c>
      <c r="D91" s="30" t="s">
        <v>218</v>
      </c>
      <c r="E91" s="30" t="s">
        <v>19</v>
      </c>
      <c r="F91" s="33">
        <v>244.5</v>
      </c>
      <c r="G91" s="30">
        <v>44837.0</v>
      </c>
    </row>
    <row r="92" ht="15.0" customHeight="1">
      <c r="A92" s="42">
        <v>46312.0</v>
      </c>
      <c r="B92" s="30" t="s">
        <v>94</v>
      </c>
      <c r="C92" s="30" t="s">
        <v>120</v>
      </c>
      <c r="D92" s="30" t="s">
        <v>220</v>
      </c>
      <c r="E92" s="30" t="s">
        <v>24</v>
      </c>
      <c r="F92" s="55">
        <f>52202/459</f>
        <v>113.7298475</v>
      </c>
      <c r="G92" s="30">
        <v>1531.0</v>
      </c>
    </row>
    <row r="93" ht="15.0" customHeight="1">
      <c r="A93" s="42">
        <v>46312.0</v>
      </c>
      <c r="B93" s="30" t="s">
        <v>94</v>
      </c>
      <c r="C93" s="30" t="s">
        <v>120</v>
      </c>
      <c r="D93" s="30" t="s">
        <v>224</v>
      </c>
      <c r="E93" s="30" t="s">
        <v>24</v>
      </c>
      <c r="F93" s="55">
        <f>31800/459</f>
        <v>69.28104575</v>
      </c>
      <c r="G93" s="30">
        <v>1532.0</v>
      </c>
    </row>
    <row r="94" ht="15.0" customHeight="1">
      <c r="A94" s="42">
        <v>46312.0</v>
      </c>
      <c r="B94" s="30" t="s">
        <v>88</v>
      </c>
      <c r="C94" s="30" t="s">
        <v>227</v>
      </c>
      <c r="D94" s="30" t="s">
        <v>218</v>
      </c>
      <c r="E94" s="30" t="s">
        <v>19</v>
      </c>
      <c r="F94" s="33">
        <v>244.5</v>
      </c>
      <c r="G94" s="30">
        <v>4837.0</v>
      </c>
    </row>
    <row r="95" ht="15.0" customHeight="1">
      <c r="A95" s="42">
        <v>46313.0</v>
      </c>
      <c r="B95" s="30" t="s">
        <v>69</v>
      </c>
      <c r="C95" s="30" t="s">
        <v>228</v>
      </c>
      <c r="D95" s="30" t="s">
        <v>229</v>
      </c>
      <c r="E95" s="30" t="s">
        <v>24</v>
      </c>
      <c r="F95" s="33">
        <v>132.84</v>
      </c>
      <c r="G95" s="30">
        <v>884.0</v>
      </c>
    </row>
    <row r="96" ht="15.0" customHeight="1">
      <c r="A96" s="42">
        <v>46313.0</v>
      </c>
      <c r="B96" s="30" t="s">
        <v>94</v>
      </c>
      <c r="C96" s="30" t="s">
        <v>95</v>
      </c>
      <c r="D96" s="30" t="s">
        <v>113</v>
      </c>
      <c r="E96" s="30" t="s">
        <v>19</v>
      </c>
      <c r="F96" s="55">
        <f>10568/459</f>
        <v>23.02396514</v>
      </c>
      <c r="G96" s="30">
        <v>4567.0</v>
      </c>
    </row>
    <row r="97" ht="15.0" customHeight="1">
      <c r="A97" s="42">
        <v>46314.0</v>
      </c>
      <c r="B97" s="30" t="s">
        <v>94</v>
      </c>
      <c r="C97" s="30" t="s">
        <v>95</v>
      </c>
      <c r="D97" s="30" t="s">
        <v>96</v>
      </c>
      <c r="E97" s="30" t="s">
        <v>19</v>
      </c>
      <c r="F97" s="55">
        <f>67515/459</f>
        <v>147.0915033</v>
      </c>
      <c r="G97" s="30">
        <v>1183.0</v>
      </c>
    </row>
    <row r="98" ht="15.0" customHeight="1">
      <c r="A98" s="42">
        <v>46314.0</v>
      </c>
      <c r="B98" s="30" t="s">
        <v>94</v>
      </c>
      <c r="C98" s="30" t="s">
        <v>95</v>
      </c>
      <c r="D98" s="30" t="s">
        <v>113</v>
      </c>
      <c r="E98" s="30" t="s">
        <v>19</v>
      </c>
      <c r="F98" s="55">
        <f>96468/459</f>
        <v>210.1699346</v>
      </c>
      <c r="G98" s="30">
        <v>4567.0</v>
      </c>
    </row>
    <row r="99" ht="15.0" customHeight="1">
      <c r="A99" s="42">
        <v>46314.0</v>
      </c>
      <c r="B99" s="30" t="s">
        <v>63</v>
      </c>
      <c r="C99" s="30" t="s">
        <v>98</v>
      </c>
      <c r="D99" s="30" t="s">
        <v>214</v>
      </c>
      <c r="E99" s="30" t="s">
        <v>19</v>
      </c>
      <c r="F99" s="55">
        <f>61585/459</f>
        <v>134.1721133</v>
      </c>
      <c r="G99" s="30">
        <v>3013.0</v>
      </c>
    </row>
    <row r="100" ht="15.0" customHeight="1">
      <c r="A100" s="42">
        <v>46314.0</v>
      </c>
      <c r="B100" s="30" t="s">
        <v>16</v>
      </c>
      <c r="C100" s="30" t="s">
        <v>234</v>
      </c>
      <c r="D100" s="30" t="s">
        <v>235</v>
      </c>
      <c r="E100" s="30" t="s">
        <v>24</v>
      </c>
      <c r="F100" s="55">
        <f>11875/459</f>
        <v>25.87145969</v>
      </c>
      <c r="G100" s="30">
        <v>4735.0</v>
      </c>
    </row>
    <row r="101" ht="15.0" customHeight="1">
      <c r="A101" s="42">
        <v>46314.0</v>
      </c>
      <c r="B101" s="30" t="s">
        <v>88</v>
      </c>
      <c r="C101" s="30" t="s">
        <v>236</v>
      </c>
      <c r="D101" s="30" t="s">
        <v>237</v>
      </c>
      <c r="E101" s="30" t="s">
        <v>24</v>
      </c>
      <c r="F101" s="55">
        <f>45000/459</f>
        <v>98.03921569</v>
      </c>
      <c r="G101" s="30">
        <v>971.0</v>
      </c>
    </row>
    <row r="102" ht="15.0" customHeight="1">
      <c r="A102" s="42">
        <v>46314.0</v>
      </c>
      <c r="B102" s="30" t="s">
        <v>94</v>
      </c>
      <c r="C102" s="30" t="s">
        <v>95</v>
      </c>
      <c r="D102" s="30" t="s">
        <v>113</v>
      </c>
      <c r="E102" s="30" t="s">
        <v>19</v>
      </c>
      <c r="F102" s="33">
        <f>40791.42/459</f>
        <v>88.87019608</v>
      </c>
      <c r="G102" s="30">
        <v>220.0</v>
      </c>
    </row>
    <row r="103" ht="15.0" customHeight="1">
      <c r="A103" s="42">
        <v>46314.0</v>
      </c>
      <c r="B103" s="30" t="s">
        <v>88</v>
      </c>
      <c r="C103" s="30" t="s">
        <v>236</v>
      </c>
      <c r="D103" s="30" t="s">
        <v>238</v>
      </c>
      <c r="E103" s="30" t="s">
        <v>24</v>
      </c>
      <c r="F103" s="33">
        <f>11875.03/459</f>
        <v>25.87152505</v>
      </c>
      <c r="G103" s="30">
        <v>2901.0</v>
      </c>
    </row>
    <row r="104" ht="15.0" customHeight="1">
      <c r="A104" s="42">
        <v>46314.0</v>
      </c>
      <c r="B104" s="30" t="s">
        <v>69</v>
      </c>
      <c r="C104" s="30" t="s">
        <v>240</v>
      </c>
      <c r="D104" s="30" t="s">
        <v>241</v>
      </c>
      <c r="E104" s="30" t="s">
        <v>19</v>
      </c>
      <c r="F104" s="33">
        <v>186.45</v>
      </c>
      <c r="G104" s="30">
        <v>3834.0</v>
      </c>
    </row>
    <row r="105" ht="15.0" customHeight="1">
      <c r="A105" s="42">
        <v>46315.0</v>
      </c>
      <c r="B105" s="30" t="s">
        <v>88</v>
      </c>
      <c r="C105" s="30" t="s">
        <v>242</v>
      </c>
      <c r="D105" s="30" t="s">
        <v>243</v>
      </c>
      <c r="E105" s="30" t="s">
        <v>19</v>
      </c>
      <c r="F105" s="33">
        <v>926.6</v>
      </c>
      <c r="G105" s="30">
        <v>1122.0</v>
      </c>
    </row>
    <row r="106" ht="15.0" customHeight="1">
      <c r="A106" s="42">
        <v>46316.0</v>
      </c>
      <c r="B106" s="30" t="s">
        <v>94</v>
      </c>
      <c r="C106" s="30" t="s">
        <v>120</v>
      </c>
      <c r="D106" s="30" t="s">
        <v>245</v>
      </c>
      <c r="E106" s="30" t="s">
        <v>24</v>
      </c>
      <c r="F106" s="55">
        <f>18150/459</f>
        <v>39.54248366</v>
      </c>
      <c r="G106" s="30">
        <v>3.0</v>
      </c>
    </row>
    <row r="107" ht="15.0" customHeight="1">
      <c r="A107" s="42">
        <v>46316.0</v>
      </c>
      <c r="B107" s="30" t="s">
        <v>69</v>
      </c>
      <c r="C107" s="30" t="s">
        <v>228</v>
      </c>
      <c r="D107" s="30" t="s">
        <v>247</v>
      </c>
      <c r="E107" s="30" t="s">
        <v>19</v>
      </c>
      <c r="F107" s="33">
        <v>24.0</v>
      </c>
      <c r="G107" s="30">
        <v>46.0</v>
      </c>
    </row>
    <row r="108" ht="15.0" customHeight="1">
      <c r="A108" s="42">
        <v>46316.0</v>
      </c>
      <c r="B108" s="30" t="s">
        <v>69</v>
      </c>
      <c r="C108" s="30" t="s">
        <v>228</v>
      </c>
      <c r="D108" s="30" t="s">
        <v>248</v>
      </c>
      <c r="E108" s="30" t="s">
        <v>19</v>
      </c>
      <c r="F108" s="55">
        <f>149.5</f>
        <v>149.5</v>
      </c>
      <c r="G108" s="30">
        <v>10001.0</v>
      </c>
    </row>
    <row r="109" ht="15.0" customHeight="1">
      <c r="A109" s="42">
        <v>46316.0</v>
      </c>
      <c r="B109" s="30" t="s">
        <v>82</v>
      </c>
      <c r="C109" s="30" t="s">
        <v>83</v>
      </c>
      <c r="D109" s="30" t="s">
        <v>84</v>
      </c>
      <c r="E109" s="30" t="s">
        <v>24</v>
      </c>
      <c r="F109" s="55">
        <f>11402/459</f>
        <v>24.84095861</v>
      </c>
      <c r="G109" s="30">
        <v>7557.0</v>
      </c>
    </row>
    <row r="110" ht="15.0" customHeight="1">
      <c r="A110" s="42">
        <v>46317.0</v>
      </c>
      <c r="B110" s="30" t="s">
        <v>94</v>
      </c>
      <c r="C110" s="30" t="s">
        <v>95</v>
      </c>
      <c r="D110" s="30" t="s">
        <v>113</v>
      </c>
      <c r="E110" s="30" t="s">
        <v>24</v>
      </c>
      <c r="F110" s="55">
        <f>3600/459</f>
        <v>7.843137255</v>
      </c>
      <c r="G110" s="30">
        <v>536.0</v>
      </c>
    </row>
    <row r="111" ht="15.0" customHeight="1">
      <c r="A111" s="42">
        <v>46317.0</v>
      </c>
      <c r="B111" s="30" t="s">
        <v>9</v>
      </c>
      <c r="C111" s="30" t="s">
        <v>20</v>
      </c>
      <c r="D111" s="30" t="s">
        <v>252</v>
      </c>
      <c r="E111" s="30" t="s">
        <v>24</v>
      </c>
      <c r="F111" s="55">
        <f>42375/459</f>
        <v>92.32026144</v>
      </c>
      <c r="G111" s="30">
        <v>1692.0</v>
      </c>
    </row>
    <row r="112" ht="15.0" customHeight="1">
      <c r="A112" s="42">
        <v>46317.0</v>
      </c>
      <c r="B112" s="30" t="s">
        <v>9</v>
      </c>
      <c r="C112" s="30" t="s">
        <v>20</v>
      </c>
      <c r="D112" s="30" t="s">
        <v>252</v>
      </c>
      <c r="E112" s="30" t="s">
        <v>24</v>
      </c>
      <c r="F112" s="55">
        <f>17156/459</f>
        <v>37.37690632</v>
      </c>
      <c r="G112" s="30">
        <v>1699.0</v>
      </c>
    </row>
    <row r="113" ht="15.0" customHeight="1">
      <c r="A113" s="42">
        <v>46317.0</v>
      </c>
      <c r="B113" s="30" t="s">
        <v>9</v>
      </c>
      <c r="C113" s="30" t="s">
        <v>20</v>
      </c>
      <c r="D113" s="30" t="s">
        <v>252</v>
      </c>
      <c r="E113" s="30" t="s">
        <v>24</v>
      </c>
      <c r="F113" s="55">
        <f>12365.32/459</f>
        <v>26.93969499</v>
      </c>
      <c r="G113" s="30">
        <v>16294.0</v>
      </c>
    </row>
    <row r="114" ht="15.0" customHeight="1">
      <c r="A114" s="42">
        <v>46317.0</v>
      </c>
      <c r="B114" s="30" t="s">
        <v>82</v>
      </c>
      <c r="C114" s="30" t="s">
        <v>83</v>
      </c>
      <c r="D114" s="30" t="s">
        <v>84</v>
      </c>
      <c r="E114" s="30" t="s">
        <v>24</v>
      </c>
      <c r="F114" s="55">
        <f>39009/459</f>
        <v>84.9869281</v>
      </c>
      <c r="G114" s="30">
        <v>7469.0</v>
      </c>
    </row>
    <row r="115" ht="15.0" customHeight="1">
      <c r="A115" s="42">
        <v>46317.0</v>
      </c>
      <c r="B115" s="30" t="s">
        <v>63</v>
      </c>
      <c r="C115" s="30" t="s">
        <v>81</v>
      </c>
      <c r="D115" s="30" t="s">
        <v>257</v>
      </c>
      <c r="E115" s="30" t="s">
        <v>24</v>
      </c>
      <c r="F115" s="55">
        <f>7800/459</f>
        <v>16.99346405</v>
      </c>
      <c r="G115" s="30">
        <v>687.0</v>
      </c>
    </row>
    <row r="116" ht="15.0" customHeight="1">
      <c r="A116" s="42">
        <v>46317.0</v>
      </c>
      <c r="B116" s="30" t="s">
        <v>94</v>
      </c>
      <c r="C116" s="30" t="s">
        <v>120</v>
      </c>
      <c r="D116" s="30" t="s">
        <v>258</v>
      </c>
      <c r="E116" s="30" t="s">
        <v>24</v>
      </c>
      <c r="F116" s="55">
        <f>19910/459</f>
        <v>43.37690632</v>
      </c>
      <c r="G116" s="30">
        <v>440.0</v>
      </c>
    </row>
    <row r="117" ht="15.0" customHeight="1">
      <c r="A117" s="42">
        <v>46317.0</v>
      </c>
      <c r="B117" s="30" t="s">
        <v>94</v>
      </c>
      <c r="C117" s="30" t="s">
        <v>120</v>
      </c>
      <c r="D117" s="30" t="s">
        <v>260</v>
      </c>
      <c r="E117" s="30" t="s">
        <v>24</v>
      </c>
      <c r="F117" s="55">
        <f>78880/459</f>
        <v>171.8518519</v>
      </c>
      <c r="G117" s="30">
        <v>440.0</v>
      </c>
    </row>
    <row r="118" ht="15.0" customHeight="1">
      <c r="A118" s="42">
        <v>46317.0</v>
      </c>
      <c r="B118" s="30" t="s">
        <v>9</v>
      </c>
      <c r="C118" s="30" t="s">
        <v>101</v>
      </c>
      <c r="D118" s="30" t="s">
        <v>144</v>
      </c>
      <c r="E118" s="30" t="s">
        <v>109</v>
      </c>
      <c r="F118" s="55">
        <f>18150/459</f>
        <v>39.54248366</v>
      </c>
      <c r="G118" s="30">
        <v>7747.0</v>
      </c>
    </row>
    <row r="119" ht="15.0" customHeight="1">
      <c r="A119" s="42">
        <v>46318.0</v>
      </c>
      <c r="B119" s="30" t="s">
        <v>9</v>
      </c>
      <c r="C119" s="30" t="s">
        <v>101</v>
      </c>
      <c r="D119" s="30" t="s">
        <v>103</v>
      </c>
      <c r="E119" s="30" t="s">
        <v>24</v>
      </c>
      <c r="F119" s="55">
        <f>57916/459</f>
        <v>126.1786492</v>
      </c>
      <c r="G119" s="30">
        <v>2668.0</v>
      </c>
    </row>
    <row r="120" ht="15.0" customHeight="1">
      <c r="A120" s="42">
        <v>46318.0</v>
      </c>
      <c r="B120" s="30" t="s">
        <v>9</v>
      </c>
      <c r="C120" s="30" t="s">
        <v>265</v>
      </c>
      <c r="D120" s="30" t="s">
        <v>266</v>
      </c>
      <c r="E120" s="30" t="s">
        <v>24</v>
      </c>
      <c r="F120" s="55">
        <f>125373/459</f>
        <v>273.1437908</v>
      </c>
      <c r="G120" s="30">
        <v>4446.0</v>
      </c>
    </row>
    <row r="121" ht="15.0" customHeight="1">
      <c r="A121" s="42">
        <v>46319.0</v>
      </c>
      <c r="B121" s="30" t="s">
        <v>155</v>
      </c>
      <c r="C121" s="30" t="s">
        <v>191</v>
      </c>
      <c r="D121" s="30" t="s">
        <v>157</v>
      </c>
      <c r="E121" s="30" t="s">
        <v>19</v>
      </c>
      <c r="F121" s="55">
        <f>10796/459</f>
        <v>23.52069717</v>
      </c>
      <c r="G121" s="30">
        <v>9653.0</v>
      </c>
    </row>
    <row r="122" ht="15.0" customHeight="1">
      <c r="A122" s="42">
        <v>46319.0</v>
      </c>
      <c r="B122" s="30" t="s">
        <v>155</v>
      </c>
      <c r="C122" s="30" t="s">
        <v>191</v>
      </c>
      <c r="D122" s="30" t="s">
        <v>157</v>
      </c>
      <c r="E122" s="30" t="s">
        <v>19</v>
      </c>
      <c r="F122" s="55">
        <f>11998/459</f>
        <v>26.13943355</v>
      </c>
      <c r="G122" s="30">
        <v>8456.0</v>
      </c>
    </row>
    <row r="123" ht="15.0" customHeight="1">
      <c r="A123" s="42">
        <v>46319.0</v>
      </c>
      <c r="B123" s="30" t="s">
        <v>155</v>
      </c>
      <c r="C123" s="30" t="s">
        <v>191</v>
      </c>
      <c r="D123" s="30" t="s">
        <v>157</v>
      </c>
      <c r="E123" s="30" t="s">
        <v>19</v>
      </c>
      <c r="F123" s="55">
        <f>15228/459</f>
        <v>33.17647059</v>
      </c>
      <c r="G123" s="30">
        <v>3787.0</v>
      </c>
    </row>
    <row r="124" ht="15.0" customHeight="1">
      <c r="A124" s="42">
        <v>46319.0</v>
      </c>
      <c r="B124" s="30" t="s">
        <v>155</v>
      </c>
      <c r="C124" s="30" t="s">
        <v>191</v>
      </c>
      <c r="D124" s="30" t="s">
        <v>157</v>
      </c>
      <c r="E124" s="30" t="s">
        <v>19</v>
      </c>
      <c r="F124" s="55">
        <f t="shared" ref="F124:F125" si="4">12000/459</f>
        <v>26.14379085</v>
      </c>
      <c r="G124" s="30">
        <v>8073.0</v>
      </c>
    </row>
    <row r="125" ht="15.0" customHeight="1">
      <c r="A125" s="42">
        <v>46319.0</v>
      </c>
      <c r="B125" s="30" t="s">
        <v>155</v>
      </c>
      <c r="C125" s="30" t="s">
        <v>191</v>
      </c>
      <c r="D125" s="30" t="s">
        <v>157</v>
      </c>
      <c r="E125" s="30" t="s">
        <v>19</v>
      </c>
      <c r="F125" s="55">
        <f t="shared" si="4"/>
        <v>26.14379085</v>
      </c>
      <c r="G125" s="30">
        <v>7180.0</v>
      </c>
    </row>
    <row r="126" ht="15.0" customHeight="1">
      <c r="A126" s="42">
        <v>46319.0</v>
      </c>
      <c r="B126" s="30" t="s">
        <v>94</v>
      </c>
      <c r="C126" s="30" t="s">
        <v>111</v>
      </c>
      <c r="D126" s="30" t="s">
        <v>112</v>
      </c>
      <c r="E126" s="30" t="s">
        <v>19</v>
      </c>
      <c r="F126" s="55">
        <f>55000/459</f>
        <v>119.8257081</v>
      </c>
      <c r="G126" s="30">
        <v>1256.0</v>
      </c>
    </row>
    <row r="127" ht="15.0" customHeight="1">
      <c r="A127" s="42">
        <v>46319.0</v>
      </c>
      <c r="B127" s="30" t="s">
        <v>94</v>
      </c>
      <c r="C127" s="30" t="s">
        <v>273</v>
      </c>
      <c r="D127" s="30" t="s">
        <v>274</v>
      </c>
      <c r="E127" s="30" t="s">
        <v>19</v>
      </c>
      <c r="F127" s="55">
        <f>103005/459</f>
        <v>224.4117647</v>
      </c>
      <c r="G127" s="30">
        <v>299.0</v>
      </c>
    </row>
    <row r="128" ht="15.0" customHeight="1">
      <c r="A128" s="42">
        <v>46319.0</v>
      </c>
      <c r="B128" s="30" t="s">
        <v>9</v>
      </c>
      <c r="C128" s="30" t="s">
        <v>275</v>
      </c>
      <c r="D128" s="30" t="s">
        <v>276</v>
      </c>
      <c r="E128" s="30" t="s">
        <v>19</v>
      </c>
      <c r="F128" s="55">
        <f>93815/459</f>
        <v>204.3899782</v>
      </c>
      <c r="G128" s="30">
        <v>86.0</v>
      </c>
    </row>
    <row r="129" ht="15.0" customHeight="1">
      <c r="A129" s="42">
        <v>46319.0</v>
      </c>
      <c r="B129" s="30" t="s">
        <v>94</v>
      </c>
      <c r="C129" s="30" t="s">
        <v>120</v>
      </c>
      <c r="D129" s="30" t="s">
        <v>277</v>
      </c>
      <c r="E129" s="30" t="s">
        <v>24</v>
      </c>
      <c r="F129" s="55">
        <f>11800/459</f>
        <v>25.708061</v>
      </c>
      <c r="G129" s="30">
        <v>2349.0</v>
      </c>
    </row>
    <row r="130" ht="15.0" customHeight="1">
      <c r="A130" s="42">
        <v>46319.0</v>
      </c>
      <c r="B130" s="30" t="s">
        <v>94</v>
      </c>
      <c r="C130" s="30" t="s">
        <v>120</v>
      </c>
      <c r="D130" s="30" t="s">
        <v>277</v>
      </c>
      <c r="E130" s="30" t="s">
        <v>24</v>
      </c>
      <c r="F130" s="55">
        <f>41882/459</f>
        <v>91.24618736</v>
      </c>
      <c r="G130" s="30">
        <v>2350.0</v>
      </c>
    </row>
    <row r="131" ht="15.0" customHeight="1">
      <c r="A131" s="42">
        <v>46320.0</v>
      </c>
      <c r="B131" s="77"/>
      <c r="C131" s="77"/>
      <c r="D131" s="77"/>
      <c r="E131" s="77"/>
      <c r="F131" s="55"/>
      <c r="G131" s="77"/>
    </row>
    <row r="132" ht="15.0" customHeight="1">
      <c r="A132" s="42">
        <v>46320.0</v>
      </c>
      <c r="B132" s="77"/>
      <c r="C132" s="77"/>
      <c r="D132" s="77"/>
      <c r="E132" s="77"/>
      <c r="F132" s="55"/>
      <c r="G132" s="77"/>
    </row>
    <row r="133" ht="15.0" customHeight="1">
      <c r="A133" s="42">
        <v>46320.0</v>
      </c>
      <c r="B133" s="77"/>
      <c r="C133" s="77"/>
      <c r="D133" s="77"/>
      <c r="E133" s="77"/>
      <c r="F133" s="55"/>
      <c r="G133" s="77"/>
    </row>
    <row r="134" ht="15.0" customHeight="1">
      <c r="A134" s="42">
        <v>46320.0</v>
      </c>
      <c r="B134" s="77"/>
      <c r="C134" s="77"/>
      <c r="D134" s="77"/>
      <c r="E134" s="77"/>
      <c r="F134" s="55"/>
      <c r="G134" s="77"/>
    </row>
    <row r="135" ht="15.0" customHeight="1">
      <c r="A135" s="76"/>
      <c r="B135" s="77"/>
      <c r="C135" s="77"/>
      <c r="D135" s="77"/>
      <c r="E135" s="77"/>
      <c r="F135" s="55"/>
      <c r="G135" s="77"/>
    </row>
    <row r="136" ht="15.0" customHeight="1">
      <c r="A136" s="76"/>
      <c r="B136" s="77"/>
      <c r="C136" s="77"/>
      <c r="D136" s="77"/>
      <c r="E136" s="77"/>
      <c r="F136" s="55"/>
      <c r="G136" s="77"/>
    </row>
    <row r="137" ht="15.0" customHeight="1">
      <c r="A137" s="76"/>
      <c r="B137" s="77"/>
      <c r="C137" s="77"/>
      <c r="D137" s="77"/>
      <c r="E137" s="77"/>
      <c r="F137" s="55"/>
      <c r="G137" s="77"/>
    </row>
    <row r="138" ht="15.0" customHeight="1">
      <c r="A138" s="76"/>
      <c r="B138" s="77"/>
      <c r="C138" s="77"/>
      <c r="D138" s="77"/>
      <c r="E138" s="77"/>
      <c r="F138" s="55"/>
      <c r="G138" s="77"/>
    </row>
    <row r="139" ht="15.0" customHeight="1">
      <c r="A139" s="76"/>
      <c r="B139" s="77"/>
      <c r="C139" s="77"/>
      <c r="D139" s="77"/>
      <c r="E139" s="77"/>
      <c r="F139" s="55"/>
      <c r="G139" s="77"/>
    </row>
    <row r="140" ht="15.0" customHeight="1">
      <c r="A140" s="76"/>
      <c r="B140" s="77"/>
      <c r="C140" s="77"/>
      <c r="D140" s="77"/>
      <c r="E140" s="77"/>
      <c r="F140" s="55"/>
      <c r="G140" s="77"/>
    </row>
    <row r="141" ht="15.0" customHeight="1">
      <c r="A141" s="76"/>
      <c r="B141" s="77"/>
      <c r="C141" s="77"/>
      <c r="D141" s="77"/>
      <c r="E141" s="77"/>
      <c r="F141" s="55"/>
      <c r="G141" s="77"/>
    </row>
    <row r="142" ht="15.0" customHeight="1">
      <c r="A142" s="76"/>
      <c r="B142" s="77"/>
      <c r="C142" s="77"/>
      <c r="D142" s="77"/>
      <c r="E142" s="77"/>
      <c r="F142" s="55"/>
      <c r="G142" s="77"/>
    </row>
    <row r="143" ht="15.0" customHeight="1">
      <c r="A143" s="76"/>
      <c r="B143" s="77"/>
      <c r="C143" s="77"/>
      <c r="D143" s="77"/>
      <c r="E143" s="77"/>
      <c r="F143" s="55"/>
      <c r="G143" s="77"/>
    </row>
    <row r="144" ht="15.0" customHeight="1">
      <c r="A144" s="76"/>
      <c r="B144" s="77"/>
      <c r="C144" s="77"/>
      <c r="D144" s="77"/>
      <c r="E144" s="77"/>
      <c r="F144" s="55"/>
      <c r="G144" s="77"/>
    </row>
    <row r="145" ht="15.0" customHeight="1">
      <c r="A145" s="76"/>
      <c r="B145" s="77"/>
      <c r="C145" s="77"/>
      <c r="D145" s="77"/>
      <c r="E145" s="77"/>
      <c r="F145" s="55"/>
      <c r="G145" s="77"/>
    </row>
    <row r="146" ht="15.0" customHeight="1">
      <c r="A146" s="76"/>
      <c r="B146" s="77"/>
      <c r="C146" s="77"/>
      <c r="D146" s="77"/>
      <c r="E146" s="77"/>
      <c r="F146" s="55"/>
      <c r="G146" s="77"/>
    </row>
    <row r="147" ht="15.0" customHeight="1">
      <c r="A147" s="76"/>
      <c r="B147" s="77"/>
      <c r="C147" s="77"/>
      <c r="D147" s="77"/>
      <c r="E147" s="77"/>
      <c r="F147" s="55"/>
      <c r="G147" s="77"/>
    </row>
    <row r="148" ht="15.0" customHeight="1">
      <c r="A148" s="76"/>
      <c r="B148" s="77"/>
      <c r="C148" s="77"/>
      <c r="D148" s="77"/>
      <c r="E148" s="77"/>
      <c r="F148" s="55"/>
      <c r="G148" s="77"/>
    </row>
    <row r="149" ht="15.0" customHeight="1">
      <c r="A149" s="76"/>
      <c r="B149" s="77"/>
      <c r="C149" s="77"/>
      <c r="D149" s="77"/>
      <c r="E149" s="77"/>
      <c r="F149" s="55"/>
      <c r="G149" s="77"/>
    </row>
    <row r="150" ht="15.0" customHeight="1">
      <c r="A150" s="76"/>
      <c r="B150" s="77"/>
      <c r="C150" s="77"/>
      <c r="D150" s="77"/>
      <c r="E150" s="77"/>
      <c r="F150" s="55"/>
      <c r="G150" s="77"/>
    </row>
    <row r="151" ht="15.0" customHeight="1">
      <c r="A151" s="76"/>
      <c r="B151" s="77"/>
      <c r="C151" s="77"/>
      <c r="D151" s="77"/>
      <c r="E151" s="77"/>
      <c r="F151" s="55"/>
      <c r="G151" s="77"/>
    </row>
    <row r="152" ht="15.0" customHeight="1">
      <c r="A152" s="76"/>
      <c r="B152" s="77"/>
      <c r="C152" s="77"/>
      <c r="D152" s="77"/>
      <c r="E152" s="77"/>
      <c r="F152" s="55"/>
      <c r="G152" s="77"/>
    </row>
    <row r="153" ht="15.0" customHeight="1">
      <c r="A153" s="76"/>
      <c r="B153" s="77"/>
      <c r="C153" s="77"/>
      <c r="D153" s="77"/>
      <c r="E153" s="77"/>
      <c r="F153" s="55"/>
      <c r="G153" s="77"/>
    </row>
    <row r="154" ht="15.0" customHeight="1">
      <c r="A154" s="76"/>
      <c r="B154" s="77"/>
      <c r="C154" s="77"/>
      <c r="D154" s="77"/>
      <c r="E154" s="77"/>
      <c r="F154" s="55"/>
      <c r="G154" s="77"/>
    </row>
    <row r="155" ht="15.0" customHeight="1">
      <c r="A155" s="76"/>
      <c r="B155" s="77"/>
      <c r="C155" s="77"/>
      <c r="D155" s="77"/>
      <c r="E155" s="77"/>
      <c r="F155" s="55"/>
      <c r="G155" s="77"/>
    </row>
    <row r="156" ht="15.0" customHeight="1">
      <c r="A156" s="76"/>
      <c r="B156" s="77"/>
      <c r="C156" s="77"/>
      <c r="D156" s="77"/>
      <c r="E156" s="77"/>
      <c r="F156" s="55"/>
      <c r="G156" s="77"/>
    </row>
    <row r="157" ht="15.0" customHeight="1">
      <c r="A157" s="76"/>
      <c r="B157" s="77"/>
      <c r="C157" s="77"/>
      <c r="D157" s="77"/>
      <c r="E157" s="77"/>
      <c r="F157" s="55"/>
      <c r="G157" s="77"/>
    </row>
    <row r="158" ht="15.0" customHeight="1">
      <c r="A158" s="76"/>
      <c r="B158" s="77"/>
      <c r="C158" s="77"/>
      <c r="D158" s="77"/>
      <c r="E158" s="77"/>
      <c r="F158" s="55"/>
      <c r="G158" s="77"/>
    </row>
    <row r="159" ht="15.0" customHeight="1">
      <c r="A159" s="76"/>
      <c r="B159" s="77"/>
      <c r="C159" s="77"/>
      <c r="D159" s="77"/>
      <c r="E159" s="77"/>
      <c r="F159" s="55"/>
      <c r="G159" s="77"/>
    </row>
    <row r="160" ht="15.0" customHeight="1">
      <c r="A160" s="76"/>
      <c r="B160" s="77"/>
      <c r="C160" s="77"/>
      <c r="D160" s="77"/>
      <c r="E160" s="77"/>
      <c r="F160" s="55"/>
      <c r="G160" s="77"/>
    </row>
    <row r="161" ht="15.0" customHeight="1">
      <c r="A161" s="76"/>
      <c r="B161" s="77"/>
      <c r="C161" s="77"/>
      <c r="D161" s="77"/>
      <c r="E161" s="77"/>
      <c r="F161" s="55"/>
      <c r="G161" s="77"/>
    </row>
    <row r="162" ht="15.0" customHeight="1">
      <c r="A162" s="76"/>
      <c r="B162" s="77"/>
      <c r="C162" s="77"/>
      <c r="D162" s="77"/>
      <c r="E162" s="77"/>
      <c r="F162" s="55"/>
      <c r="G162" s="77"/>
    </row>
    <row r="163" ht="15.0" customHeight="1">
      <c r="A163" s="76"/>
      <c r="B163" s="77"/>
      <c r="C163" s="77"/>
      <c r="D163" s="77"/>
      <c r="E163" s="77"/>
      <c r="F163" s="55"/>
      <c r="G163" s="77"/>
    </row>
    <row r="164" ht="15.0" customHeight="1">
      <c r="A164" s="76"/>
      <c r="B164" s="77"/>
      <c r="C164" s="77"/>
      <c r="D164" s="77"/>
      <c r="E164" s="77"/>
      <c r="F164" s="55"/>
      <c r="G164" s="77"/>
    </row>
    <row r="165" ht="15.0" customHeight="1">
      <c r="A165" s="76"/>
      <c r="B165" s="77"/>
      <c r="C165" s="77"/>
      <c r="D165" s="77"/>
      <c r="E165" s="77"/>
      <c r="F165" s="55"/>
      <c r="G165" s="77"/>
    </row>
    <row r="166" ht="15.0" customHeight="1">
      <c r="A166" s="76"/>
      <c r="B166" s="77"/>
      <c r="C166" s="77"/>
      <c r="D166" s="77"/>
      <c r="E166" s="77"/>
      <c r="F166" s="55"/>
      <c r="G166" s="77"/>
    </row>
    <row r="167" ht="15.0" customHeight="1">
      <c r="A167" s="76"/>
      <c r="B167" s="77"/>
      <c r="C167" s="77"/>
      <c r="D167" s="77"/>
      <c r="E167" s="77"/>
      <c r="F167" s="55"/>
      <c r="G167" s="77"/>
    </row>
    <row r="168" ht="15.0" customHeight="1">
      <c r="A168" s="76"/>
      <c r="B168" s="77"/>
      <c r="C168" s="77"/>
      <c r="D168" s="77"/>
      <c r="E168" s="77"/>
      <c r="F168" s="55"/>
      <c r="G168" s="77"/>
    </row>
    <row r="169" ht="15.0" customHeight="1">
      <c r="A169" s="76"/>
      <c r="B169" s="77"/>
      <c r="C169" s="77"/>
      <c r="D169" s="77"/>
      <c r="E169" s="77"/>
      <c r="F169" s="55"/>
      <c r="G169" s="77"/>
    </row>
    <row r="170" ht="15.0" customHeight="1">
      <c r="A170" s="76"/>
      <c r="B170" s="77"/>
      <c r="C170" s="77"/>
      <c r="D170" s="77"/>
      <c r="E170" s="77"/>
      <c r="F170" s="55"/>
      <c r="G170" s="77"/>
    </row>
    <row r="171" ht="15.0" customHeight="1">
      <c r="A171" s="76"/>
      <c r="B171" s="77"/>
      <c r="C171" s="77"/>
      <c r="D171" s="77"/>
      <c r="E171" s="77"/>
      <c r="F171" s="55"/>
      <c r="G171" s="77"/>
    </row>
    <row r="172" ht="15.0" customHeight="1">
      <c r="A172" s="76"/>
      <c r="B172" s="77"/>
      <c r="C172" s="77"/>
      <c r="D172" s="77"/>
      <c r="E172" s="77"/>
      <c r="F172" s="55"/>
      <c r="G172" s="77"/>
    </row>
    <row r="173" ht="15.0" customHeight="1">
      <c r="A173" s="76"/>
      <c r="B173" s="77"/>
      <c r="C173" s="77"/>
      <c r="D173" s="77"/>
      <c r="E173" s="77"/>
      <c r="F173" s="55"/>
      <c r="G173" s="77"/>
    </row>
    <row r="174" ht="15.0" customHeight="1">
      <c r="A174" s="76"/>
      <c r="B174" s="77"/>
      <c r="C174" s="77"/>
      <c r="D174" s="77"/>
      <c r="E174" s="77"/>
      <c r="F174" s="55"/>
      <c r="G174" s="77"/>
    </row>
    <row r="175" ht="15.0" customHeight="1">
      <c r="A175" s="76"/>
      <c r="B175" s="77"/>
      <c r="C175" s="77"/>
      <c r="D175" s="77"/>
      <c r="E175" s="77"/>
      <c r="F175" s="55"/>
      <c r="G175" s="77"/>
    </row>
    <row r="176" ht="15.0" customHeight="1">
      <c r="A176" s="76"/>
      <c r="B176" s="77"/>
      <c r="C176" s="77"/>
      <c r="D176" s="77"/>
      <c r="E176" s="77"/>
      <c r="F176" s="55"/>
      <c r="G176" s="77"/>
    </row>
    <row r="177" ht="15.0" customHeight="1">
      <c r="A177" s="76"/>
      <c r="B177" s="77"/>
      <c r="C177" s="77"/>
      <c r="D177" s="77"/>
      <c r="E177" s="77"/>
      <c r="F177" s="55"/>
      <c r="G177" s="77"/>
    </row>
    <row r="178" ht="15.0" customHeight="1">
      <c r="A178" s="76"/>
      <c r="B178" s="77"/>
      <c r="C178" s="77"/>
      <c r="D178" s="77"/>
      <c r="E178" s="77"/>
      <c r="F178" s="55"/>
      <c r="G178" s="77"/>
    </row>
    <row r="179" ht="15.0" customHeight="1">
      <c r="A179" s="76"/>
      <c r="B179" s="77"/>
      <c r="C179" s="77"/>
      <c r="D179" s="77"/>
      <c r="E179" s="77"/>
      <c r="F179" s="55"/>
      <c r="G179" s="77"/>
    </row>
    <row r="180" ht="15.0" customHeight="1">
      <c r="A180" s="76"/>
      <c r="B180" s="77"/>
      <c r="C180" s="77"/>
      <c r="D180" s="77"/>
      <c r="E180" s="77"/>
      <c r="F180" s="55"/>
      <c r="G180" s="77"/>
    </row>
    <row r="181" ht="15.0" customHeight="1">
      <c r="A181" s="76"/>
      <c r="B181" s="77"/>
      <c r="C181" s="77"/>
      <c r="D181" s="77"/>
      <c r="E181" s="77"/>
      <c r="F181" s="55"/>
      <c r="G181" s="77"/>
    </row>
    <row r="182" ht="15.0" customHeight="1">
      <c r="A182" s="76"/>
      <c r="B182" s="77"/>
      <c r="C182" s="77"/>
      <c r="D182" s="77"/>
      <c r="E182" s="77"/>
      <c r="F182" s="55"/>
      <c r="G182" s="77"/>
    </row>
    <row r="183" ht="15.0" customHeight="1">
      <c r="A183" s="76"/>
      <c r="B183" s="77"/>
      <c r="C183" s="77"/>
      <c r="D183" s="77"/>
      <c r="E183" s="77"/>
      <c r="F183" s="55"/>
      <c r="G183" s="77"/>
    </row>
    <row r="184" ht="15.0" customHeight="1">
      <c r="A184" s="76"/>
      <c r="B184" s="77"/>
      <c r="C184" s="77"/>
      <c r="D184" s="77"/>
      <c r="E184" s="77"/>
      <c r="F184" s="55"/>
      <c r="G184" s="77"/>
    </row>
    <row r="185" ht="15.0" customHeight="1">
      <c r="A185" s="76"/>
      <c r="B185" s="77"/>
      <c r="C185" s="77"/>
      <c r="D185" s="77"/>
      <c r="E185" s="77"/>
      <c r="F185" s="55"/>
      <c r="G185" s="77"/>
    </row>
    <row r="186" ht="15.0" customHeight="1">
      <c r="A186" s="76"/>
      <c r="B186" s="77"/>
      <c r="C186" s="77"/>
      <c r="D186" s="77"/>
      <c r="E186" s="77"/>
      <c r="F186" s="55"/>
      <c r="G186" s="77"/>
    </row>
    <row r="187" ht="15.0" customHeight="1">
      <c r="A187" s="76"/>
      <c r="B187" s="77"/>
      <c r="C187" s="77"/>
      <c r="D187" s="77"/>
      <c r="E187" s="77"/>
      <c r="F187" s="55"/>
      <c r="G187" s="77"/>
    </row>
    <row r="188" ht="15.0" customHeight="1">
      <c r="A188" s="76"/>
      <c r="B188" s="77"/>
      <c r="C188" s="77"/>
      <c r="D188" s="77"/>
      <c r="E188" s="77"/>
      <c r="F188" s="55"/>
      <c r="G188" s="77"/>
    </row>
    <row r="189" ht="15.0" customHeight="1">
      <c r="A189" s="76"/>
      <c r="B189" s="77"/>
      <c r="C189" s="77"/>
      <c r="D189" s="77"/>
      <c r="E189" s="77"/>
      <c r="F189" s="55"/>
      <c r="G189" s="77"/>
    </row>
    <row r="190" ht="15.0" customHeight="1">
      <c r="A190" s="76"/>
      <c r="B190" s="77"/>
      <c r="C190" s="77"/>
      <c r="D190" s="77"/>
      <c r="E190" s="77"/>
      <c r="F190" s="55"/>
      <c r="G190" s="77"/>
    </row>
    <row r="191" ht="15.0" customHeight="1">
      <c r="A191" s="76"/>
      <c r="B191" s="77"/>
      <c r="C191" s="77"/>
      <c r="D191" s="77"/>
      <c r="E191" s="77"/>
      <c r="F191" s="55"/>
      <c r="G191" s="77"/>
    </row>
    <row r="192" ht="15.0" customHeight="1">
      <c r="A192" s="76"/>
      <c r="B192" s="77"/>
      <c r="C192" s="77"/>
      <c r="D192" s="77"/>
      <c r="E192" s="77"/>
      <c r="F192" s="55"/>
      <c r="G192" s="77"/>
    </row>
    <row r="193" ht="15.0" customHeight="1">
      <c r="A193" s="76"/>
      <c r="B193" s="77"/>
      <c r="C193" s="77"/>
      <c r="D193" s="77"/>
      <c r="E193" s="77"/>
      <c r="F193" s="55"/>
      <c r="G193" s="77"/>
    </row>
    <row r="194" ht="15.0" customHeight="1">
      <c r="A194" s="76"/>
      <c r="B194" s="77"/>
      <c r="C194" s="77"/>
      <c r="D194" s="77"/>
      <c r="E194" s="77"/>
      <c r="F194" s="55"/>
      <c r="G194" s="77"/>
    </row>
    <row r="195" ht="15.0" customHeight="1">
      <c r="A195" s="76"/>
      <c r="B195" s="77"/>
      <c r="C195" s="77"/>
      <c r="D195" s="77"/>
      <c r="E195" s="77"/>
      <c r="F195" s="55"/>
      <c r="G195" s="77"/>
    </row>
    <row r="196" ht="15.0" customHeight="1">
      <c r="A196" s="76"/>
      <c r="B196" s="77"/>
      <c r="C196" s="77"/>
      <c r="D196" s="77"/>
      <c r="E196" s="77"/>
      <c r="F196" s="55"/>
      <c r="G196" s="77"/>
    </row>
    <row r="197" ht="15.0" customHeight="1">
      <c r="A197" s="76"/>
      <c r="B197" s="77"/>
      <c r="C197" s="77"/>
      <c r="D197" s="77"/>
      <c r="E197" s="77"/>
      <c r="F197" s="55"/>
      <c r="G197" s="77"/>
    </row>
    <row r="198" ht="15.0" customHeight="1">
      <c r="A198" s="76"/>
      <c r="B198" s="77"/>
      <c r="C198" s="77"/>
      <c r="D198" s="77"/>
      <c r="E198" s="77"/>
      <c r="F198" s="55"/>
      <c r="G198" s="77"/>
    </row>
    <row r="199" ht="15.0" customHeight="1">
      <c r="A199" s="76"/>
      <c r="B199" s="77"/>
      <c r="C199" s="77"/>
      <c r="D199" s="77"/>
      <c r="E199" s="77"/>
      <c r="F199" s="55"/>
      <c r="G199" s="77"/>
    </row>
    <row r="200" ht="15.0" customHeight="1">
      <c r="A200" s="76"/>
      <c r="B200" s="77"/>
      <c r="C200" s="77"/>
      <c r="D200" s="77"/>
      <c r="E200" s="77"/>
      <c r="F200" s="55"/>
      <c r="G200" s="77"/>
    </row>
    <row r="201" ht="15.0" customHeight="1">
      <c r="A201" s="76"/>
      <c r="B201" s="77"/>
      <c r="C201" s="77"/>
      <c r="D201" s="77"/>
      <c r="E201" s="77"/>
      <c r="F201" s="55"/>
      <c r="G201" s="77"/>
    </row>
    <row r="202" ht="15.0" customHeight="1">
      <c r="A202" s="76"/>
      <c r="B202" s="77"/>
      <c r="C202" s="77"/>
      <c r="D202" s="77"/>
      <c r="E202" s="77"/>
      <c r="F202" s="55"/>
      <c r="G202" s="77"/>
    </row>
    <row r="203" ht="15.0" customHeight="1">
      <c r="A203" s="76"/>
      <c r="B203" s="77"/>
      <c r="C203" s="77"/>
      <c r="D203" s="77"/>
      <c r="E203" s="77"/>
      <c r="F203" s="55"/>
      <c r="G203" s="77"/>
    </row>
    <row r="204" ht="15.0" customHeight="1">
      <c r="A204" s="76"/>
      <c r="B204" s="77"/>
      <c r="C204" s="77"/>
      <c r="D204" s="77"/>
      <c r="E204" s="77"/>
      <c r="F204" s="55"/>
      <c r="G204" s="77"/>
    </row>
    <row r="205" ht="15.0" customHeight="1">
      <c r="A205" s="76"/>
      <c r="B205" s="77"/>
      <c r="C205" s="77"/>
      <c r="D205" s="77"/>
      <c r="E205" s="77"/>
      <c r="F205" s="55"/>
      <c r="G205" s="77"/>
    </row>
    <row r="206" ht="15.0" customHeight="1">
      <c r="A206" s="76"/>
      <c r="B206" s="77"/>
      <c r="C206" s="77"/>
      <c r="D206" s="77"/>
      <c r="E206" s="77"/>
      <c r="F206" s="55"/>
      <c r="G206" s="77"/>
    </row>
    <row r="207" ht="15.0" customHeight="1">
      <c r="A207" s="76"/>
      <c r="B207" s="77"/>
      <c r="C207" s="77"/>
      <c r="D207" s="77"/>
      <c r="E207" s="77"/>
      <c r="F207" s="55"/>
      <c r="G207" s="77"/>
    </row>
    <row r="208" ht="15.0" customHeight="1">
      <c r="A208" s="76"/>
      <c r="B208" s="77"/>
      <c r="C208" s="77"/>
      <c r="D208" s="77"/>
      <c r="E208" s="77"/>
      <c r="F208" s="55"/>
      <c r="G208" s="77"/>
    </row>
    <row r="209" ht="15.0" customHeight="1">
      <c r="A209" s="76"/>
      <c r="B209" s="77"/>
      <c r="C209" s="77"/>
      <c r="D209" s="77"/>
      <c r="E209" s="77"/>
      <c r="F209" s="55"/>
      <c r="G209" s="77"/>
    </row>
    <row r="210" ht="15.0" customHeight="1">
      <c r="A210" s="76"/>
      <c r="B210" s="77"/>
      <c r="C210" s="77"/>
      <c r="D210" s="77"/>
      <c r="E210" s="77"/>
      <c r="F210" s="55"/>
      <c r="G210" s="77"/>
    </row>
    <row r="211" ht="15.0" customHeight="1">
      <c r="A211" s="76"/>
      <c r="B211" s="77"/>
      <c r="C211" s="77"/>
      <c r="D211" s="77"/>
      <c r="E211" s="77"/>
      <c r="F211" s="55"/>
      <c r="G211" s="77"/>
    </row>
    <row r="212" ht="15.0" customHeight="1">
      <c r="A212" s="76"/>
      <c r="B212" s="77"/>
      <c r="C212" s="77"/>
      <c r="D212" s="77"/>
      <c r="E212" s="77"/>
      <c r="F212" s="55"/>
      <c r="G212" s="77"/>
    </row>
    <row r="213" ht="15.0" customHeight="1">
      <c r="A213" s="76"/>
      <c r="B213" s="77"/>
      <c r="C213" s="77"/>
      <c r="D213" s="77"/>
      <c r="E213" s="77"/>
      <c r="F213" s="55"/>
      <c r="G213" s="77"/>
    </row>
    <row r="214" ht="15.0" customHeight="1">
      <c r="A214" s="76"/>
      <c r="B214" s="77"/>
      <c r="C214" s="77"/>
      <c r="D214" s="77"/>
      <c r="E214" s="77"/>
      <c r="F214" s="55"/>
      <c r="G214" s="77"/>
    </row>
    <row r="215" ht="15.0" customHeight="1">
      <c r="A215" s="76"/>
      <c r="B215" s="77"/>
      <c r="C215" s="77"/>
      <c r="D215" s="77"/>
      <c r="E215" s="77"/>
      <c r="F215" s="55"/>
      <c r="G215" s="77"/>
    </row>
    <row r="216" ht="15.0" customHeight="1">
      <c r="A216" s="76"/>
      <c r="B216" s="77"/>
      <c r="C216" s="77"/>
      <c r="D216" s="77"/>
      <c r="E216" s="77"/>
      <c r="F216" s="55"/>
      <c r="G216" s="77"/>
    </row>
    <row r="217" ht="15.0" customHeight="1">
      <c r="A217" s="76"/>
      <c r="B217" s="77"/>
      <c r="C217" s="77"/>
      <c r="D217" s="77"/>
      <c r="E217" s="77"/>
      <c r="F217" s="55"/>
      <c r="G217" s="77"/>
    </row>
    <row r="218" ht="15.0" customHeight="1">
      <c r="A218" s="76"/>
      <c r="B218" s="77"/>
      <c r="C218" s="77"/>
      <c r="D218" s="77"/>
      <c r="E218" s="77"/>
      <c r="F218" s="55"/>
      <c r="G218" s="77"/>
    </row>
    <row r="219" ht="15.0" customHeight="1">
      <c r="A219" s="76"/>
      <c r="B219" s="77"/>
      <c r="C219" s="77"/>
      <c r="D219" s="77"/>
      <c r="E219" s="77"/>
      <c r="F219" s="55"/>
      <c r="G219" s="77"/>
    </row>
    <row r="220" ht="15.0" customHeight="1">
      <c r="A220" s="76"/>
      <c r="B220" s="77"/>
      <c r="C220" s="77"/>
      <c r="D220" s="77"/>
      <c r="E220" s="77"/>
      <c r="F220" s="55"/>
      <c r="G220" s="77"/>
    </row>
    <row r="221" ht="15.0" customHeight="1">
      <c r="A221" s="76"/>
      <c r="B221" s="77"/>
      <c r="C221" s="77"/>
      <c r="D221" s="77"/>
      <c r="E221" s="77"/>
      <c r="F221" s="55"/>
      <c r="G221" s="77"/>
    </row>
    <row r="222" ht="15.0" customHeight="1">
      <c r="A222" s="76"/>
      <c r="B222" s="77"/>
      <c r="C222" s="77"/>
      <c r="D222" s="77"/>
      <c r="E222" s="77"/>
      <c r="F222" s="55"/>
      <c r="G222" s="77"/>
    </row>
    <row r="223" ht="15.0" customHeight="1">
      <c r="A223" s="76"/>
      <c r="B223" s="77"/>
      <c r="C223" s="77"/>
      <c r="D223" s="77"/>
      <c r="E223" s="77"/>
      <c r="F223" s="55"/>
      <c r="G223" s="77"/>
    </row>
    <row r="224" ht="15.0" customHeight="1">
      <c r="A224" s="76"/>
      <c r="B224" s="77"/>
      <c r="C224" s="77"/>
      <c r="D224" s="77"/>
      <c r="E224" s="77"/>
      <c r="F224" s="55"/>
      <c r="G224" s="77"/>
    </row>
    <row r="225" ht="15.0" customHeight="1">
      <c r="A225" s="76"/>
      <c r="B225" s="77"/>
      <c r="C225" s="77"/>
      <c r="D225" s="77"/>
      <c r="E225" s="77"/>
      <c r="F225" s="55"/>
      <c r="G225" s="77"/>
    </row>
    <row r="226" ht="15.0" customHeight="1">
      <c r="A226" s="76"/>
      <c r="B226" s="77"/>
      <c r="C226" s="77"/>
      <c r="D226" s="77"/>
      <c r="E226" s="77"/>
      <c r="F226" s="55"/>
      <c r="G226" s="77"/>
    </row>
    <row r="227" ht="15.0" customHeight="1">
      <c r="A227" s="76"/>
      <c r="B227" s="77"/>
      <c r="C227" s="77"/>
      <c r="D227" s="77"/>
      <c r="E227" s="77"/>
      <c r="F227" s="55"/>
      <c r="G227" s="77"/>
    </row>
    <row r="228" ht="15.0" customHeight="1">
      <c r="A228" s="76"/>
      <c r="B228" s="77"/>
      <c r="C228" s="77"/>
      <c r="D228" s="77"/>
      <c r="E228" s="77"/>
      <c r="F228" s="55"/>
      <c r="G228" s="77"/>
    </row>
    <row r="229" ht="15.0" customHeight="1">
      <c r="A229" s="76"/>
      <c r="B229" s="77"/>
      <c r="C229" s="77"/>
      <c r="D229" s="77"/>
      <c r="E229" s="77"/>
      <c r="F229" s="55"/>
      <c r="G229" s="77"/>
    </row>
    <row r="230" ht="15.0" customHeight="1">
      <c r="A230" s="76"/>
      <c r="B230" s="77"/>
      <c r="C230" s="77"/>
      <c r="D230" s="77"/>
      <c r="E230" s="77"/>
      <c r="F230" s="55"/>
      <c r="G230" s="77"/>
    </row>
    <row r="231" ht="15.0" customHeight="1">
      <c r="A231" s="76"/>
      <c r="B231" s="77"/>
      <c r="C231" s="77"/>
      <c r="D231" s="77"/>
      <c r="E231" s="77"/>
      <c r="F231" s="55"/>
      <c r="G231" s="77"/>
    </row>
    <row r="232" ht="15.0" customHeight="1">
      <c r="A232" s="76"/>
      <c r="B232" s="77"/>
      <c r="C232" s="77"/>
      <c r="D232" s="77"/>
      <c r="E232" s="77"/>
      <c r="F232" s="55"/>
      <c r="G232" s="77"/>
    </row>
    <row r="233" ht="15.0" customHeight="1">
      <c r="A233" s="76"/>
      <c r="B233" s="77"/>
      <c r="C233" s="77"/>
      <c r="D233" s="77"/>
      <c r="E233" s="77"/>
      <c r="F233" s="55"/>
      <c r="G233" s="77"/>
    </row>
    <row r="234" ht="15.0" customHeight="1">
      <c r="A234" s="76"/>
      <c r="B234" s="77"/>
      <c r="C234" s="77"/>
      <c r="D234" s="77"/>
      <c r="E234" s="77"/>
      <c r="F234" s="55"/>
      <c r="G234" s="77"/>
    </row>
    <row r="235" ht="15.0" customHeight="1">
      <c r="A235" s="76"/>
      <c r="B235" s="77"/>
      <c r="C235" s="77"/>
      <c r="D235" s="77"/>
      <c r="E235" s="77"/>
      <c r="F235" s="55"/>
      <c r="G235" s="77"/>
    </row>
    <row r="236" ht="15.0" customHeight="1">
      <c r="A236" s="76"/>
      <c r="B236" s="77"/>
      <c r="C236" s="77"/>
      <c r="D236" s="77"/>
      <c r="E236" s="77"/>
      <c r="F236" s="55"/>
      <c r="G236" s="77"/>
    </row>
    <row r="237" ht="15.0" customHeight="1">
      <c r="A237" s="76"/>
      <c r="B237" s="77"/>
      <c r="C237" s="77"/>
      <c r="D237" s="77"/>
      <c r="E237" s="77"/>
      <c r="F237" s="55"/>
      <c r="G237" s="77"/>
    </row>
    <row r="238" ht="15.0" customHeight="1">
      <c r="A238" s="76"/>
      <c r="B238" s="77"/>
      <c r="C238" s="77"/>
      <c r="D238" s="77"/>
      <c r="E238" s="77"/>
      <c r="F238" s="55"/>
      <c r="G238" s="77"/>
    </row>
    <row r="239" ht="15.0" customHeight="1">
      <c r="A239" s="76"/>
      <c r="B239" s="77"/>
      <c r="C239" s="77"/>
      <c r="D239" s="77"/>
      <c r="E239" s="77"/>
      <c r="F239" s="55"/>
      <c r="G239" s="77"/>
    </row>
    <row r="240" ht="15.0" customHeight="1">
      <c r="A240" s="76"/>
      <c r="B240" s="77"/>
      <c r="C240" s="77"/>
      <c r="D240" s="77"/>
      <c r="E240" s="77"/>
      <c r="F240" s="55"/>
      <c r="G240" s="77"/>
    </row>
    <row r="241" ht="15.0" customHeight="1">
      <c r="A241" s="76"/>
      <c r="B241" s="77"/>
      <c r="C241" s="77"/>
      <c r="D241" s="77"/>
      <c r="E241" s="77"/>
      <c r="F241" s="55"/>
      <c r="G241" s="77"/>
    </row>
    <row r="242" ht="15.0" customHeight="1">
      <c r="A242" s="76"/>
      <c r="B242" s="77"/>
      <c r="C242" s="77"/>
      <c r="D242" s="77"/>
      <c r="E242" s="77"/>
      <c r="F242" s="55"/>
      <c r="G242" s="77"/>
    </row>
    <row r="243" ht="15.0" customHeight="1">
      <c r="A243" s="76"/>
      <c r="B243" s="77"/>
      <c r="C243" s="77"/>
      <c r="D243" s="77"/>
      <c r="E243" s="77"/>
      <c r="F243" s="55"/>
      <c r="G243" s="77"/>
    </row>
    <row r="244" ht="15.0" customHeight="1">
      <c r="A244" s="76"/>
      <c r="B244" s="77"/>
      <c r="C244" s="77"/>
      <c r="D244" s="77"/>
      <c r="E244" s="77"/>
      <c r="F244" s="55"/>
      <c r="G244" s="77"/>
    </row>
    <row r="245" ht="15.0" customHeight="1">
      <c r="A245" s="76"/>
      <c r="B245" s="77"/>
      <c r="C245" s="77"/>
      <c r="D245" s="77"/>
      <c r="E245" s="77"/>
      <c r="F245" s="55"/>
      <c r="G245" s="77"/>
    </row>
    <row r="246" ht="15.0" customHeight="1">
      <c r="A246" s="76"/>
      <c r="B246" s="77"/>
      <c r="C246" s="77"/>
      <c r="D246" s="77"/>
      <c r="E246" s="77"/>
      <c r="F246" s="55"/>
      <c r="G246" s="77"/>
    </row>
    <row r="247" ht="15.0" customHeight="1">
      <c r="A247" s="76"/>
      <c r="B247" s="77"/>
      <c r="C247" s="77"/>
      <c r="D247" s="77"/>
      <c r="E247" s="77"/>
      <c r="F247" s="55"/>
      <c r="G247" s="77"/>
    </row>
    <row r="248" ht="15.0" customHeight="1">
      <c r="A248" s="76"/>
      <c r="B248" s="77"/>
      <c r="C248" s="77"/>
      <c r="D248" s="77"/>
      <c r="E248" s="77"/>
      <c r="F248" s="55"/>
      <c r="G248" s="77"/>
    </row>
    <row r="249" ht="15.0" customHeight="1">
      <c r="A249" s="76"/>
      <c r="B249" s="77"/>
      <c r="C249" s="77"/>
      <c r="D249" s="77"/>
      <c r="E249" s="77"/>
      <c r="F249" s="55"/>
      <c r="G249" s="77"/>
    </row>
    <row r="250" ht="15.0" customHeight="1">
      <c r="A250" s="76"/>
      <c r="B250" s="77"/>
      <c r="C250" s="77"/>
      <c r="D250" s="77"/>
      <c r="E250" s="77"/>
      <c r="F250" s="55"/>
      <c r="G250" s="77"/>
    </row>
    <row r="251" ht="15.0" customHeight="1">
      <c r="A251" s="76"/>
      <c r="B251" s="77"/>
      <c r="C251" s="77"/>
      <c r="D251" s="77"/>
      <c r="E251" s="77"/>
      <c r="F251" s="55"/>
      <c r="G251" s="77"/>
    </row>
    <row r="252" ht="15.0" customHeight="1">
      <c r="A252" s="76"/>
      <c r="B252" s="77"/>
      <c r="C252" s="77"/>
      <c r="D252" s="77"/>
      <c r="E252" s="77"/>
      <c r="F252" s="55"/>
      <c r="G252" s="77"/>
    </row>
    <row r="253" ht="15.0" customHeight="1">
      <c r="A253" s="76"/>
      <c r="B253" s="77"/>
      <c r="C253" s="77"/>
      <c r="D253" s="77"/>
      <c r="E253" s="77"/>
      <c r="F253" s="55"/>
      <c r="G253" s="77"/>
    </row>
    <row r="254" ht="15.0" customHeight="1">
      <c r="A254" s="76"/>
      <c r="B254" s="77"/>
      <c r="C254" s="77"/>
      <c r="D254" s="77"/>
      <c r="E254" s="77"/>
      <c r="F254" s="55"/>
      <c r="G254" s="77"/>
    </row>
    <row r="255" ht="15.0" customHeight="1">
      <c r="A255" s="76"/>
      <c r="B255" s="77"/>
      <c r="C255" s="77"/>
      <c r="D255" s="77"/>
      <c r="E255" s="77"/>
      <c r="F255" s="55"/>
      <c r="G255" s="77"/>
    </row>
    <row r="256" ht="15.0" customHeight="1">
      <c r="A256" s="76"/>
      <c r="B256" s="77"/>
      <c r="C256" s="77"/>
      <c r="D256" s="77"/>
      <c r="E256" s="77"/>
      <c r="F256" s="55"/>
      <c r="G256" s="77"/>
    </row>
    <row r="257" ht="15.0" customHeight="1">
      <c r="A257" s="76"/>
      <c r="B257" s="77"/>
      <c r="C257" s="77"/>
      <c r="D257" s="77"/>
      <c r="E257" s="77"/>
      <c r="F257" s="55"/>
      <c r="G257" s="77"/>
    </row>
    <row r="258" ht="15.0" customHeight="1">
      <c r="A258" s="76"/>
      <c r="B258" s="77"/>
      <c r="C258" s="77"/>
      <c r="D258" s="77"/>
      <c r="E258" s="77"/>
      <c r="F258" s="55"/>
      <c r="G258" s="77"/>
    </row>
    <row r="259" ht="15.0" customHeight="1">
      <c r="A259" s="76"/>
      <c r="B259" s="77"/>
      <c r="C259" s="77"/>
      <c r="D259" s="77"/>
      <c r="E259" s="77"/>
      <c r="F259" s="55"/>
      <c r="G259" s="77"/>
    </row>
    <row r="260" ht="15.0" customHeight="1">
      <c r="A260" s="76"/>
      <c r="B260" s="77"/>
      <c r="C260" s="77"/>
      <c r="D260" s="77"/>
      <c r="E260" s="77"/>
      <c r="F260" s="55"/>
      <c r="G260" s="77"/>
    </row>
    <row r="261" ht="15.0" customHeight="1">
      <c r="A261" s="76"/>
      <c r="B261" s="77"/>
      <c r="C261" s="77"/>
      <c r="D261" s="77"/>
      <c r="E261" s="77"/>
      <c r="F261" s="55"/>
      <c r="G261" s="77"/>
    </row>
    <row r="262" ht="15.0" customHeight="1">
      <c r="A262" s="76"/>
      <c r="B262" s="77"/>
      <c r="C262" s="77"/>
      <c r="D262" s="77"/>
      <c r="E262" s="77"/>
      <c r="F262" s="55"/>
      <c r="G262" s="77"/>
    </row>
    <row r="263" ht="15.0" customHeight="1">
      <c r="A263" s="76"/>
      <c r="B263" s="77"/>
      <c r="C263" s="77"/>
      <c r="D263" s="77"/>
      <c r="E263" s="77"/>
      <c r="F263" s="55"/>
      <c r="G263" s="77"/>
    </row>
    <row r="264" ht="15.0" customHeight="1">
      <c r="A264" s="76"/>
      <c r="B264" s="77"/>
      <c r="C264" s="77"/>
      <c r="D264" s="77"/>
      <c r="E264" s="77"/>
      <c r="F264" s="55"/>
      <c r="G264" s="77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  <row r="1001" ht="15.75" customHeight="1">
      <c r="A1001" s="2"/>
      <c r="B1001" s="2"/>
      <c r="C1001" s="2"/>
      <c r="D1001" s="2"/>
      <c r="E1001" s="2"/>
      <c r="F1001" s="2"/>
      <c r="G1001" s="2"/>
    </row>
    <row r="1002" ht="15.75" customHeight="1">
      <c r="A1002" s="2"/>
      <c r="B1002" s="2"/>
      <c r="C1002" s="2"/>
      <c r="D1002" s="2"/>
      <c r="E1002" s="2"/>
      <c r="F1002" s="2"/>
      <c r="G1002" s="2"/>
    </row>
    <row r="1003" ht="15.75" customHeight="1">
      <c r="A1003" s="2"/>
      <c r="B1003" s="2"/>
      <c r="C1003" s="2"/>
      <c r="D1003" s="2"/>
      <c r="E1003" s="2"/>
      <c r="F1003" s="2"/>
      <c r="G1003" s="2"/>
    </row>
    <row r="1004" ht="15.75" customHeight="1">
      <c r="A1004" s="2"/>
      <c r="B1004" s="2"/>
      <c r="C1004" s="2"/>
      <c r="D1004" s="2"/>
      <c r="E1004" s="2"/>
      <c r="F1004" s="2"/>
      <c r="G1004" s="2"/>
    </row>
    <row r="1005" ht="15.75" customHeight="1">
      <c r="A1005" s="2"/>
      <c r="B1005" s="2"/>
      <c r="C1005" s="2"/>
      <c r="D1005" s="2"/>
      <c r="E1005" s="2"/>
      <c r="F1005" s="2"/>
      <c r="G1005" s="2"/>
    </row>
    <row r="1006" ht="15.75" customHeight="1">
      <c r="A1006" s="2"/>
      <c r="B1006" s="2"/>
      <c r="C1006" s="2"/>
      <c r="D1006" s="2"/>
      <c r="E1006" s="2"/>
      <c r="F1006" s="2"/>
      <c r="G1006" s="2"/>
    </row>
    <row r="1007" ht="15.75" customHeight="1">
      <c r="A1007" s="2"/>
      <c r="B1007" s="2"/>
      <c r="C1007" s="2"/>
      <c r="D1007" s="2"/>
      <c r="E1007" s="2"/>
      <c r="F1007" s="2"/>
      <c r="G1007" s="2"/>
    </row>
    <row r="1008" ht="15.75" customHeight="1">
      <c r="A1008" s="2"/>
      <c r="B1008" s="2"/>
      <c r="C1008" s="2"/>
      <c r="D1008" s="2"/>
      <c r="E1008" s="2"/>
      <c r="F1008" s="2"/>
      <c r="G1008" s="2"/>
    </row>
    <row r="1009" ht="15.75" customHeight="1">
      <c r="A1009" s="2"/>
      <c r="B1009" s="2"/>
      <c r="C1009" s="2"/>
      <c r="D1009" s="2"/>
      <c r="E1009" s="2"/>
      <c r="F1009" s="2"/>
      <c r="G1009" s="2"/>
    </row>
    <row r="1010" ht="15.75" customHeight="1">
      <c r="A1010" s="2"/>
      <c r="B1010" s="2"/>
      <c r="C1010" s="2"/>
      <c r="D1010" s="2"/>
      <c r="E1010" s="2"/>
      <c r="F1010" s="2"/>
      <c r="G1010" s="2"/>
    </row>
    <row r="1011" ht="15.75" customHeight="1">
      <c r="A1011" s="2"/>
      <c r="B1011" s="2"/>
      <c r="C1011" s="2"/>
      <c r="D1011" s="2"/>
      <c r="E1011" s="2"/>
      <c r="F1011" s="2"/>
      <c r="G1011" s="2"/>
    </row>
    <row r="1012" ht="15.75" customHeight="1">
      <c r="A1012" s="2"/>
      <c r="B1012" s="2"/>
      <c r="C1012" s="2"/>
      <c r="D1012" s="2"/>
      <c r="E1012" s="2"/>
      <c r="F1012" s="2"/>
      <c r="G1012" s="2"/>
    </row>
    <row r="1013" ht="15.75" customHeight="1">
      <c r="A1013" s="2"/>
      <c r="B1013" s="2"/>
      <c r="C1013" s="2"/>
      <c r="D1013" s="2"/>
      <c r="E1013" s="2"/>
      <c r="F1013" s="2"/>
      <c r="G1013" s="2"/>
    </row>
    <row r="1014" ht="15.75" customHeight="1">
      <c r="A1014" s="2"/>
      <c r="B1014" s="2"/>
      <c r="C1014" s="2"/>
      <c r="D1014" s="2"/>
      <c r="E1014" s="2"/>
      <c r="F1014" s="2"/>
      <c r="G1014" s="2"/>
    </row>
    <row r="1015" ht="15.75" customHeight="1">
      <c r="A1015" s="2"/>
      <c r="B1015" s="2"/>
      <c r="C1015" s="2"/>
      <c r="D1015" s="2"/>
      <c r="E1015" s="2"/>
      <c r="F1015" s="2"/>
      <c r="G1015" s="2"/>
    </row>
    <row r="1016" ht="15.75" customHeight="1">
      <c r="A1016" s="2"/>
      <c r="B1016" s="2"/>
      <c r="C1016" s="2"/>
      <c r="D1016" s="2"/>
      <c r="E1016" s="2"/>
      <c r="F1016" s="2"/>
      <c r="G1016" s="2"/>
    </row>
    <row r="1017" ht="15.75" customHeight="1">
      <c r="A1017" s="2"/>
      <c r="B1017" s="2"/>
      <c r="C1017" s="2"/>
      <c r="D1017" s="2"/>
      <c r="E1017" s="2"/>
      <c r="F1017" s="2"/>
      <c r="G1017" s="2"/>
    </row>
    <row r="1018" ht="15.75" customHeight="1">
      <c r="A1018" s="2"/>
      <c r="B1018" s="2"/>
      <c r="C1018" s="2"/>
      <c r="D1018" s="2"/>
      <c r="E1018" s="2"/>
      <c r="F1018" s="2"/>
      <c r="G1018" s="2"/>
    </row>
    <row r="1019" ht="15.75" customHeight="1">
      <c r="A1019" s="2"/>
      <c r="B1019" s="2"/>
      <c r="C1019" s="2"/>
      <c r="D1019" s="2"/>
      <c r="E1019" s="2"/>
      <c r="F1019" s="2"/>
      <c r="G1019" s="2"/>
    </row>
    <row r="1020" ht="15.75" customHeight="1">
      <c r="A1020" s="2"/>
      <c r="B1020" s="2"/>
      <c r="C1020" s="2"/>
      <c r="D1020" s="2"/>
      <c r="E1020" s="2"/>
      <c r="F1020" s="2"/>
      <c r="G1020" s="2"/>
    </row>
    <row r="1021" ht="15.75" customHeight="1">
      <c r="A1021" s="2"/>
      <c r="B1021" s="2"/>
      <c r="C1021" s="2"/>
      <c r="D1021" s="2"/>
      <c r="E1021" s="2"/>
      <c r="F1021" s="2"/>
      <c r="G1021" s="2"/>
    </row>
    <row r="1022" ht="15.75" customHeight="1">
      <c r="A1022" s="2"/>
      <c r="B1022" s="2"/>
      <c r="C1022" s="2"/>
      <c r="D1022" s="2"/>
      <c r="E1022" s="2"/>
      <c r="F1022" s="2"/>
      <c r="G1022" s="2"/>
    </row>
    <row r="1023" ht="15.75" customHeight="1">
      <c r="A1023" s="2"/>
      <c r="B1023" s="2"/>
      <c r="C1023" s="2"/>
      <c r="D1023" s="2"/>
      <c r="E1023" s="2"/>
      <c r="F1023" s="2"/>
      <c r="G1023" s="2"/>
    </row>
    <row r="1024" ht="15.75" customHeight="1">
      <c r="A1024" s="2"/>
      <c r="B1024" s="2"/>
      <c r="C1024" s="2"/>
      <c r="D1024" s="2"/>
      <c r="E1024" s="2"/>
      <c r="F1024" s="2"/>
      <c r="G1024" s="2"/>
    </row>
    <row r="1025" ht="15.75" customHeight="1">
      <c r="A1025" s="2"/>
      <c r="B1025" s="2"/>
      <c r="C1025" s="2"/>
      <c r="D1025" s="2"/>
      <c r="E1025" s="2"/>
      <c r="F1025" s="2"/>
      <c r="G1025" s="2"/>
    </row>
    <row r="1026" ht="15.75" customHeight="1">
      <c r="A1026" s="2"/>
      <c r="B1026" s="2"/>
      <c r="C1026" s="2"/>
      <c r="D1026" s="2"/>
      <c r="E1026" s="2"/>
      <c r="F1026" s="2"/>
      <c r="G1026" s="2"/>
    </row>
    <row r="1027" ht="15.75" customHeight="1">
      <c r="A1027" s="2"/>
      <c r="B1027" s="2"/>
      <c r="C1027" s="2"/>
      <c r="D1027" s="2"/>
      <c r="E1027" s="2"/>
      <c r="F1027" s="2"/>
      <c r="G1027" s="2"/>
    </row>
    <row r="1028" ht="15.75" customHeight="1">
      <c r="A1028" s="2"/>
      <c r="B1028" s="2"/>
      <c r="C1028" s="2"/>
      <c r="D1028" s="2"/>
      <c r="E1028" s="2"/>
      <c r="F1028" s="2"/>
      <c r="G1028" s="2"/>
    </row>
    <row r="1029" ht="15.75" customHeight="1">
      <c r="A1029" s="2"/>
      <c r="B1029" s="2"/>
      <c r="C1029" s="2"/>
      <c r="D1029" s="2"/>
      <c r="E1029" s="2"/>
      <c r="F1029" s="2"/>
      <c r="G1029" s="2"/>
    </row>
    <row r="1030" ht="15.75" customHeight="1">
      <c r="A1030" s="2"/>
      <c r="B1030" s="2"/>
      <c r="C1030" s="2"/>
      <c r="D1030" s="2"/>
      <c r="E1030" s="2"/>
      <c r="F1030" s="2"/>
      <c r="G1030" s="2"/>
    </row>
    <row r="1031" ht="15.75" customHeight="1">
      <c r="A1031" s="2"/>
      <c r="B1031" s="2"/>
      <c r="C1031" s="2"/>
      <c r="D1031" s="2"/>
      <c r="E1031" s="2"/>
      <c r="F1031" s="2"/>
      <c r="G1031" s="2"/>
    </row>
    <row r="1032" ht="15.75" customHeight="1">
      <c r="A1032" s="2"/>
      <c r="B1032" s="2"/>
      <c r="C1032" s="2"/>
      <c r="D1032" s="2"/>
      <c r="E1032" s="2"/>
      <c r="F1032" s="2"/>
      <c r="G1032" s="2"/>
    </row>
    <row r="1033" ht="15.75" customHeight="1">
      <c r="A1033" s="2"/>
      <c r="B1033" s="2"/>
      <c r="C1033" s="2"/>
      <c r="D1033" s="2"/>
      <c r="E1033" s="2"/>
      <c r="F1033" s="2"/>
      <c r="G1033" s="2"/>
    </row>
    <row r="1034" ht="15.75" customHeight="1">
      <c r="A1034" s="2"/>
      <c r="B1034" s="2"/>
      <c r="C1034" s="2"/>
      <c r="D1034" s="2"/>
      <c r="E1034" s="2"/>
      <c r="F1034" s="2"/>
      <c r="G1034" s="2"/>
    </row>
    <row r="1035" ht="15.75" customHeight="1">
      <c r="A1035" s="2"/>
      <c r="B1035" s="2"/>
      <c r="C1035" s="2"/>
      <c r="D1035" s="2"/>
      <c r="E1035" s="2"/>
      <c r="F1035" s="2"/>
      <c r="G1035" s="2"/>
    </row>
    <row r="1036" ht="15.75" customHeight="1">
      <c r="A1036" s="2"/>
      <c r="B1036" s="2"/>
      <c r="C1036" s="2"/>
      <c r="D1036" s="2"/>
      <c r="E1036" s="2"/>
      <c r="F1036" s="2"/>
      <c r="G1036" s="2"/>
    </row>
    <row r="1037" ht="15.75" customHeight="1">
      <c r="A1037" s="2"/>
      <c r="B1037" s="2"/>
      <c r="C1037" s="2"/>
      <c r="D1037" s="2"/>
      <c r="E1037" s="2"/>
      <c r="F1037" s="2"/>
      <c r="G1037" s="2"/>
    </row>
    <row r="1038" ht="15.75" customHeight="1">
      <c r="A1038" s="2"/>
      <c r="B1038" s="2"/>
      <c r="C1038" s="2"/>
      <c r="D1038" s="2"/>
      <c r="E1038" s="2"/>
      <c r="F1038" s="2"/>
      <c r="G1038" s="2"/>
    </row>
    <row r="1039" ht="15.75" customHeight="1">
      <c r="A1039" s="2"/>
      <c r="B1039" s="2"/>
      <c r="C1039" s="2"/>
      <c r="D1039" s="2"/>
      <c r="E1039" s="2"/>
      <c r="F1039" s="2"/>
      <c r="G1039" s="2"/>
    </row>
    <row r="1040" ht="15.75" customHeight="1">
      <c r="A1040" s="2"/>
      <c r="B1040" s="2"/>
      <c r="C1040" s="2"/>
      <c r="D1040" s="2"/>
      <c r="E1040" s="2"/>
      <c r="F1040" s="2"/>
      <c r="G1040" s="2"/>
    </row>
    <row r="1041" ht="15.75" customHeight="1">
      <c r="A1041" s="2"/>
      <c r="B1041" s="2"/>
      <c r="C1041" s="2"/>
      <c r="D1041" s="2"/>
      <c r="E1041" s="2"/>
      <c r="F1041" s="2"/>
      <c r="G1041" s="2"/>
    </row>
    <row r="1042" ht="15.75" customHeight="1">
      <c r="A1042" s="2"/>
      <c r="B1042" s="2"/>
      <c r="C1042" s="2"/>
      <c r="D1042" s="2"/>
      <c r="E1042" s="2"/>
      <c r="F1042" s="2"/>
      <c r="G1042" s="2"/>
    </row>
    <row r="1043" ht="15.75" customHeight="1">
      <c r="A1043" s="2"/>
      <c r="B1043" s="2"/>
      <c r="C1043" s="2"/>
      <c r="D1043" s="2"/>
      <c r="E1043" s="2"/>
      <c r="F1043" s="2"/>
      <c r="G1043" s="2"/>
    </row>
    <row r="1044" ht="15.75" customHeight="1">
      <c r="A1044" s="2"/>
      <c r="B1044" s="2"/>
      <c r="C1044" s="2"/>
      <c r="D1044" s="2"/>
      <c r="E1044" s="2"/>
      <c r="F1044" s="2"/>
      <c r="G1044" s="2"/>
    </row>
    <row r="1045" ht="15.75" customHeight="1">
      <c r="A1045" s="2"/>
      <c r="B1045" s="2"/>
      <c r="C1045" s="2"/>
      <c r="D1045" s="2"/>
      <c r="E1045" s="2"/>
      <c r="F1045" s="2"/>
      <c r="G1045" s="2"/>
    </row>
    <row r="1046" ht="15.75" customHeight="1">
      <c r="A1046" s="2"/>
      <c r="B1046" s="2"/>
      <c r="C1046" s="2"/>
      <c r="D1046" s="2"/>
      <c r="E1046" s="2"/>
      <c r="F1046" s="2"/>
      <c r="G1046" s="2"/>
    </row>
    <row r="1047" ht="15.75" customHeight="1">
      <c r="A1047" s="2"/>
      <c r="B1047" s="2"/>
      <c r="C1047" s="2"/>
      <c r="D1047" s="2"/>
      <c r="E1047" s="2"/>
      <c r="F1047" s="2"/>
      <c r="G1047" s="2"/>
    </row>
    <row r="1048" ht="15.75" customHeight="1">
      <c r="A1048" s="2"/>
      <c r="B1048" s="2"/>
      <c r="C1048" s="2"/>
      <c r="D1048" s="2"/>
      <c r="E1048" s="2"/>
      <c r="F1048" s="2"/>
      <c r="G1048" s="2"/>
    </row>
    <row r="1049" ht="15.75" customHeight="1">
      <c r="A1049" s="2"/>
      <c r="B1049" s="2"/>
      <c r="C1049" s="2"/>
      <c r="D1049" s="2"/>
      <c r="E1049" s="2"/>
      <c r="F1049" s="2"/>
      <c r="G1049" s="2"/>
    </row>
  </sheetData>
  <dataValidations>
    <dataValidation type="list" allowBlank="1" sqref="B6:B1049">
      <formula1>Listas!$A$5:$A$21</formula1>
    </dataValidation>
    <dataValidation type="date" allowBlank="1" sqref="A6:A1049">
      <formula1>46300.0</formula1>
      <formula2>46387.0</formula2>
    </dataValidation>
    <dataValidation type="list" allowBlank="1" sqref="E6:E1049">
      <formula1>Listas!$I$5:$I$8</formula1>
    </dataValidation>
    <dataValidation type="decimal" operator="greaterThanOrEqual" allowBlank="1" sqref="F6:F1049">
      <formula1>0.0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3.0"/>
    <col customWidth="1" min="2" max="2" width="24.0"/>
    <col customWidth="1" min="3" max="3" width="26.0"/>
    <col customWidth="1" min="4" max="4" width="32.0"/>
    <col customWidth="1" min="5" max="5" width="20.0"/>
    <col customWidth="1" min="6" max="6" width="13.57"/>
    <col customWidth="1" min="7" max="7" width="22.71"/>
    <col customWidth="1" min="8" max="8" width="15.0"/>
    <col customWidth="1" min="9" max="9" width="24.29"/>
    <col customWidth="1" min="10" max="27" width="8.71"/>
  </cols>
  <sheetData>
    <row r="1" ht="19.5" customHeight="1">
      <c r="A1" s="1" t="s">
        <v>3</v>
      </c>
      <c r="B1" s="2"/>
      <c r="C1" s="2"/>
      <c r="D1" s="2"/>
      <c r="E1" s="2"/>
      <c r="F1" s="2"/>
      <c r="G1" s="2"/>
      <c r="H1" s="2"/>
    </row>
    <row r="2" ht="15.0" customHeight="1">
      <c r="A2" s="3" t="s">
        <v>8</v>
      </c>
      <c r="B2" s="2"/>
      <c r="C2" s="2"/>
      <c r="D2" s="2"/>
      <c r="E2" s="2"/>
      <c r="F2" s="2"/>
      <c r="G2" s="2"/>
      <c r="H2" s="2"/>
    </row>
    <row r="3" ht="15.0" customHeight="1">
      <c r="A3" s="6">
        <v>46300.0</v>
      </c>
      <c r="B3" s="9"/>
      <c r="C3" s="9"/>
      <c r="D3" s="9" t="s">
        <v>12</v>
      </c>
      <c r="E3" s="9" t="s">
        <v>14</v>
      </c>
      <c r="F3" s="11">
        <v>1.0</v>
      </c>
      <c r="G3" s="11"/>
      <c r="H3" s="12">
        <v>320.0</v>
      </c>
      <c r="I3" s="8" t="s">
        <v>24</v>
      </c>
      <c r="J3" s="14" t="s">
        <v>25</v>
      </c>
    </row>
    <row r="4" ht="15.0" customHeight="1">
      <c r="A4" s="16" t="s">
        <v>26</v>
      </c>
      <c r="B4" s="22">
        <f>COUNT(A27:A1026)</f>
        <v>96</v>
      </c>
      <c r="C4" s="2"/>
      <c r="D4" s="2"/>
      <c r="E4" s="23" t="s">
        <v>32</v>
      </c>
      <c r="F4" s="28">
        <f>SUM(F27:F1026)</f>
        <v>166</v>
      </c>
      <c r="G4" s="28"/>
      <c r="H4" s="24">
        <f>SUM(H6:H200)</f>
        <v>28669.38078</v>
      </c>
    </row>
    <row r="5" ht="41.25" customHeight="1">
      <c r="A5" s="32" t="s">
        <v>33</v>
      </c>
      <c r="B5" s="35" t="s">
        <v>38</v>
      </c>
      <c r="C5" s="35" t="s">
        <v>37</v>
      </c>
      <c r="D5" s="35" t="s">
        <v>60</v>
      </c>
      <c r="E5" s="35" t="s">
        <v>61</v>
      </c>
      <c r="F5" s="35" t="s">
        <v>62</v>
      </c>
      <c r="G5" s="40" t="s">
        <v>64</v>
      </c>
      <c r="H5" s="35" t="s">
        <v>49</v>
      </c>
      <c r="I5" s="35" t="s">
        <v>67</v>
      </c>
    </row>
    <row r="6" ht="15.0" customHeight="1">
      <c r="A6" s="42">
        <v>46296.0</v>
      </c>
      <c r="B6" s="30"/>
      <c r="C6" s="30" t="s">
        <v>72</v>
      </c>
      <c r="D6" s="30"/>
      <c r="E6" s="45" t="s">
        <v>73</v>
      </c>
      <c r="F6" s="46"/>
      <c r="G6" s="46"/>
      <c r="H6" s="33">
        <v>92.0</v>
      </c>
      <c r="I6" s="30" t="s">
        <v>24</v>
      </c>
    </row>
    <row r="7" ht="15.0" customHeight="1">
      <c r="A7" s="42">
        <v>46296.0</v>
      </c>
      <c r="B7" s="30"/>
      <c r="C7" s="30" t="s">
        <v>72</v>
      </c>
      <c r="D7" s="30"/>
      <c r="E7" s="30" t="s">
        <v>14</v>
      </c>
      <c r="F7" s="46"/>
      <c r="G7" s="46"/>
      <c r="H7" s="33">
        <v>613.0</v>
      </c>
      <c r="I7" s="30" t="s">
        <v>24</v>
      </c>
    </row>
    <row r="8" ht="15.0" customHeight="1">
      <c r="A8" s="42">
        <v>46297.0</v>
      </c>
      <c r="B8" s="30"/>
      <c r="C8" s="30" t="s">
        <v>72</v>
      </c>
      <c r="D8" s="30"/>
      <c r="E8" s="30" t="s">
        <v>14</v>
      </c>
      <c r="F8" s="46"/>
      <c r="G8" s="46"/>
      <c r="H8" s="33">
        <v>1500.0</v>
      </c>
      <c r="I8" s="30" t="s">
        <v>24</v>
      </c>
    </row>
    <row r="9" ht="15.0" customHeight="1">
      <c r="A9" s="42">
        <v>46297.0</v>
      </c>
      <c r="B9" s="30"/>
      <c r="C9" s="30" t="s">
        <v>72</v>
      </c>
      <c r="D9" s="30"/>
      <c r="E9" s="45" t="s">
        <v>73</v>
      </c>
      <c r="F9" s="46"/>
      <c r="G9" s="46"/>
      <c r="H9" s="33">
        <v>1010.0</v>
      </c>
      <c r="I9" s="30" t="s">
        <v>24</v>
      </c>
    </row>
    <row r="10" ht="15.0" customHeight="1">
      <c r="A10" s="42">
        <v>46297.0</v>
      </c>
      <c r="B10" s="30"/>
      <c r="C10" s="30" t="s">
        <v>72</v>
      </c>
      <c r="D10" s="30"/>
      <c r="E10" s="30" t="s">
        <v>97</v>
      </c>
      <c r="F10" s="46"/>
      <c r="G10" s="46"/>
      <c r="H10" s="33">
        <v>381.0</v>
      </c>
      <c r="I10" s="30" t="s">
        <v>24</v>
      </c>
    </row>
    <row r="11" ht="15.0" customHeight="1">
      <c r="A11" s="42">
        <v>46298.0</v>
      </c>
      <c r="B11" s="30"/>
      <c r="C11" s="30" t="s">
        <v>72</v>
      </c>
      <c r="D11" s="30"/>
      <c r="E11" s="30" t="s">
        <v>14</v>
      </c>
      <c r="F11" s="46"/>
      <c r="G11" s="46"/>
      <c r="H11" s="33">
        <v>739.0</v>
      </c>
      <c r="I11" s="30" t="s">
        <v>24</v>
      </c>
    </row>
    <row r="12" ht="15.0" customHeight="1">
      <c r="A12" s="42">
        <v>46298.0</v>
      </c>
      <c r="B12" s="30"/>
      <c r="C12" s="30" t="s">
        <v>72</v>
      </c>
      <c r="D12" s="30"/>
      <c r="E12" s="30" t="s">
        <v>97</v>
      </c>
      <c r="F12" s="46"/>
      <c r="G12" s="46"/>
      <c r="H12" s="33">
        <v>593.0</v>
      </c>
      <c r="I12" s="30" t="s">
        <v>24</v>
      </c>
    </row>
    <row r="13" ht="15.0" customHeight="1">
      <c r="A13" s="42">
        <v>46299.0</v>
      </c>
      <c r="B13" s="30"/>
      <c r="C13" s="30" t="s">
        <v>72</v>
      </c>
      <c r="D13" s="30"/>
      <c r="E13" s="30" t="s">
        <v>14</v>
      </c>
      <c r="F13" s="46"/>
      <c r="G13" s="46"/>
      <c r="H13" s="33">
        <v>663.0</v>
      </c>
      <c r="I13" s="30" t="s">
        <v>24</v>
      </c>
    </row>
    <row r="14" ht="15.0" customHeight="1">
      <c r="A14" s="42">
        <v>46299.0</v>
      </c>
      <c r="B14" s="30"/>
      <c r="C14" s="30" t="s">
        <v>72</v>
      </c>
      <c r="D14" s="30"/>
      <c r="E14" s="45" t="s">
        <v>73</v>
      </c>
      <c r="F14" s="46"/>
      <c r="G14" s="46"/>
      <c r="H14" s="33">
        <v>218.0</v>
      </c>
      <c r="I14" s="30" t="s">
        <v>24</v>
      </c>
    </row>
    <row r="15" ht="15.0" customHeight="1">
      <c r="A15" s="42">
        <v>46300.0</v>
      </c>
      <c r="B15" s="30"/>
      <c r="C15" s="30" t="s">
        <v>72</v>
      </c>
      <c r="D15" s="30"/>
      <c r="E15" s="30" t="s">
        <v>14</v>
      </c>
      <c r="F15" s="46"/>
      <c r="G15" s="46"/>
      <c r="H15" s="33">
        <v>279.0</v>
      </c>
      <c r="I15" s="30" t="s">
        <v>24</v>
      </c>
    </row>
    <row r="16" ht="15.0" customHeight="1">
      <c r="A16" s="42">
        <v>46300.0</v>
      </c>
      <c r="B16" s="30"/>
      <c r="C16" s="30" t="s">
        <v>72</v>
      </c>
      <c r="D16" s="30"/>
      <c r="E16" s="45" t="s">
        <v>73</v>
      </c>
      <c r="F16" s="46"/>
      <c r="G16" s="46"/>
      <c r="H16" s="33">
        <v>124.0</v>
      </c>
      <c r="I16" s="30" t="s">
        <v>24</v>
      </c>
    </row>
    <row r="17" ht="15.0" customHeight="1">
      <c r="A17" s="42">
        <v>46301.0</v>
      </c>
      <c r="B17" s="30"/>
      <c r="C17" s="30" t="s">
        <v>72</v>
      </c>
      <c r="D17" s="30"/>
      <c r="E17" s="30" t="s">
        <v>106</v>
      </c>
      <c r="F17" s="46"/>
      <c r="G17" s="46"/>
      <c r="H17" s="33">
        <v>401.0</v>
      </c>
      <c r="I17" s="30" t="s">
        <v>24</v>
      </c>
    </row>
    <row r="18" ht="15.0" customHeight="1">
      <c r="A18" s="42">
        <v>46301.0</v>
      </c>
      <c r="B18" s="30"/>
      <c r="C18" s="30" t="s">
        <v>72</v>
      </c>
      <c r="D18" s="30"/>
      <c r="E18" s="30" t="s">
        <v>14</v>
      </c>
      <c r="F18" s="46"/>
      <c r="G18" s="46"/>
      <c r="H18" s="33">
        <v>144.0</v>
      </c>
      <c r="I18" s="30" t="s">
        <v>24</v>
      </c>
    </row>
    <row r="19" ht="15.0" customHeight="1">
      <c r="A19" s="42">
        <v>46301.0</v>
      </c>
      <c r="B19" s="30"/>
      <c r="C19" s="30" t="s">
        <v>72</v>
      </c>
      <c r="D19" s="30"/>
      <c r="E19" s="45" t="s">
        <v>73</v>
      </c>
      <c r="F19" s="46"/>
      <c r="G19" s="46"/>
      <c r="H19" s="33">
        <v>327.0</v>
      </c>
      <c r="I19" s="30" t="s">
        <v>24</v>
      </c>
    </row>
    <row r="20" ht="15.0" customHeight="1">
      <c r="A20" s="42">
        <v>46302.0</v>
      </c>
      <c r="B20" s="30"/>
      <c r="C20" s="30" t="s">
        <v>72</v>
      </c>
      <c r="D20" s="30"/>
      <c r="E20" s="30" t="s">
        <v>14</v>
      </c>
      <c r="F20" s="46"/>
      <c r="G20" s="46"/>
      <c r="H20" s="33">
        <v>861.0</v>
      </c>
      <c r="I20" s="30" t="s">
        <v>24</v>
      </c>
    </row>
    <row r="21" ht="15.0" customHeight="1">
      <c r="A21" s="42">
        <v>46303.0</v>
      </c>
      <c r="B21" s="30"/>
      <c r="C21" s="30" t="s">
        <v>72</v>
      </c>
      <c r="D21" s="30"/>
      <c r="E21" s="30" t="s">
        <v>97</v>
      </c>
      <c r="F21" s="46"/>
      <c r="G21" s="46"/>
      <c r="H21" s="33">
        <v>902.0</v>
      </c>
      <c r="I21" s="30" t="s">
        <v>24</v>
      </c>
    </row>
    <row r="22" ht="15.0" customHeight="1">
      <c r="A22" s="42">
        <v>46303.0</v>
      </c>
      <c r="B22" s="30"/>
      <c r="C22" s="30" t="s">
        <v>72</v>
      </c>
      <c r="D22" s="30"/>
      <c r="E22" s="30" t="s">
        <v>14</v>
      </c>
      <c r="F22" s="46"/>
      <c r="G22" s="46"/>
      <c r="H22" s="33">
        <v>401.0</v>
      </c>
      <c r="I22" s="30" t="s">
        <v>24</v>
      </c>
    </row>
    <row r="23" ht="15.0" customHeight="1">
      <c r="A23" s="42">
        <v>46304.0</v>
      </c>
      <c r="B23" s="30"/>
      <c r="C23" s="30" t="s">
        <v>72</v>
      </c>
      <c r="D23" s="30"/>
      <c r="E23" s="30" t="s">
        <v>14</v>
      </c>
      <c r="F23" s="46"/>
      <c r="G23" s="46"/>
      <c r="H23" s="33">
        <v>970.0</v>
      </c>
      <c r="I23" s="30" t="s">
        <v>24</v>
      </c>
    </row>
    <row r="24" ht="15.0" customHeight="1">
      <c r="A24" s="42">
        <v>46304.0</v>
      </c>
      <c r="B24" s="30"/>
      <c r="C24" s="30" t="s">
        <v>72</v>
      </c>
      <c r="D24" s="30"/>
      <c r="E24" s="45" t="s">
        <v>73</v>
      </c>
      <c r="F24" s="46"/>
      <c r="G24" s="46"/>
      <c r="H24" s="33">
        <v>203.0</v>
      </c>
      <c r="I24" s="30" t="s">
        <v>24</v>
      </c>
    </row>
    <row r="25" ht="15.0" customHeight="1">
      <c r="A25" s="42">
        <v>46305.0</v>
      </c>
      <c r="B25" s="30"/>
      <c r="C25" s="30" t="s">
        <v>72</v>
      </c>
      <c r="D25" s="30"/>
      <c r="E25" s="30" t="s">
        <v>14</v>
      </c>
      <c r="F25" s="46"/>
      <c r="G25" s="46"/>
      <c r="H25" s="33">
        <v>909.0</v>
      </c>
      <c r="I25" s="30" t="s">
        <v>24</v>
      </c>
    </row>
    <row r="26" ht="15.0" customHeight="1">
      <c r="A26" s="42">
        <v>46305.0</v>
      </c>
      <c r="B26" s="30"/>
      <c r="C26" s="30" t="s">
        <v>72</v>
      </c>
      <c r="D26" s="30"/>
      <c r="E26" s="45" t="s">
        <v>73</v>
      </c>
      <c r="F26" s="46"/>
      <c r="G26" s="46"/>
      <c r="H26" s="33">
        <v>545.0</v>
      </c>
      <c r="I26" s="30" t="s">
        <v>24</v>
      </c>
    </row>
    <row r="27" ht="15.0" customHeight="1">
      <c r="A27" s="42">
        <v>46306.0</v>
      </c>
      <c r="B27" s="30" t="s">
        <v>55</v>
      </c>
      <c r="C27" s="30" t="s">
        <v>72</v>
      </c>
      <c r="D27" s="30" t="s">
        <v>118</v>
      </c>
      <c r="E27" s="30" t="s">
        <v>14</v>
      </c>
      <c r="F27" s="46">
        <v>2.0</v>
      </c>
      <c r="G27" s="46"/>
      <c r="H27" s="33">
        <v>372.9</v>
      </c>
      <c r="I27" s="30" t="s">
        <v>19</v>
      </c>
    </row>
    <row r="28" ht="15.0" customHeight="1">
      <c r="A28" s="52">
        <v>46306.0</v>
      </c>
      <c r="B28" s="53" t="s">
        <v>122</v>
      </c>
      <c r="C28" s="53" t="s">
        <v>72</v>
      </c>
      <c r="D28" s="53" t="s">
        <v>123</v>
      </c>
      <c r="E28" s="56" t="s">
        <v>73</v>
      </c>
      <c r="F28" s="57">
        <v>3.0</v>
      </c>
      <c r="G28" s="57"/>
      <c r="H28" s="59">
        <v>160.6</v>
      </c>
      <c r="I28" s="53" t="s">
        <v>24</v>
      </c>
    </row>
    <row r="29" ht="15.0" customHeight="1">
      <c r="A29" s="42">
        <v>46306.0</v>
      </c>
      <c r="B29" s="30" t="s">
        <v>18</v>
      </c>
      <c r="C29" s="30" t="s">
        <v>72</v>
      </c>
      <c r="D29" s="30" t="s">
        <v>125</v>
      </c>
      <c r="E29" s="45" t="s">
        <v>73</v>
      </c>
      <c r="F29" s="46">
        <v>3.0</v>
      </c>
      <c r="G29" s="46"/>
      <c r="H29" s="33">
        <v>321.65</v>
      </c>
      <c r="I29" s="30" t="s">
        <v>24</v>
      </c>
    </row>
    <row r="30" ht="15.0" customHeight="1">
      <c r="A30" s="42">
        <v>46306.0</v>
      </c>
      <c r="B30" s="30" t="s">
        <v>100</v>
      </c>
      <c r="C30" s="30" t="s">
        <v>72</v>
      </c>
      <c r="D30" s="30" t="s">
        <v>128</v>
      </c>
      <c r="E30" s="45" t="s">
        <v>73</v>
      </c>
      <c r="F30" s="46">
        <v>2.0</v>
      </c>
      <c r="G30" s="46"/>
      <c r="H30" s="33">
        <v>121.84</v>
      </c>
      <c r="I30" s="30" t="s">
        <v>24</v>
      </c>
    </row>
    <row r="31" ht="15.0" customHeight="1">
      <c r="A31" s="42">
        <v>46306.0</v>
      </c>
      <c r="B31" s="30" t="s">
        <v>86</v>
      </c>
      <c r="C31" s="30" t="s">
        <v>72</v>
      </c>
      <c r="D31" s="30" t="s">
        <v>130</v>
      </c>
      <c r="E31" s="45" t="s">
        <v>73</v>
      </c>
      <c r="F31" s="46">
        <v>1.0</v>
      </c>
      <c r="G31" s="46"/>
      <c r="H31" s="33">
        <v>115.42</v>
      </c>
      <c r="I31" s="30" t="s">
        <v>24</v>
      </c>
    </row>
    <row r="32" ht="15.0" customHeight="1">
      <c r="A32" s="42">
        <v>46306.0</v>
      </c>
      <c r="B32" s="30" t="s">
        <v>131</v>
      </c>
      <c r="C32" s="30" t="s">
        <v>72</v>
      </c>
      <c r="D32" s="30" t="s">
        <v>132</v>
      </c>
      <c r="E32" s="45" t="s">
        <v>73</v>
      </c>
      <c r="F32" s="46">
        <v>3.0</v>
      </c>
      <c r="G32" s="46"/>
      <c r="H32" s="33">
        <v>429.09</v>
      </c>
      <c r="I32" s="30" t="s">
        <v>24</v>
      </c>
    </row>
    <row r="33" ht="15.0" customHeight="1">
      <c r="A33" s="42">
        <v>46306.0</v>
      </c>
      <c r="B33" s="30" t="s">
        <v>133</v>
      </c>
      <c r="C33" s="30" t="s">
        <v>72</v>
      </c>
      <c r="D33" s="30" t="s">
        <v>134</v>
      </c>
      <c r="E33" s="30" t="s">
        <v>135</v>
      </c>
      <c r="F33" s="46">
        <v>1.0</v>
      </c>
      <c r="G33" s="46"/>
      <c r="H33" s="33">
        <v>155.0</v>
      </c>
      <c r="I33" s="30" t="s">
        <v>19</v>
      </c>
    </row>
    <row r="34" ht="15.0" customHeight="1">
      <c r="A34" s="42">
        <v>46306.0</v>
      </c>
      <c r="B34" s="30" t="s">
        <v>136</v>
      </c>
      <c r="C34" s="30" t="s">
        <v>68</v>
      </c>
      <c r="D34" s="30" t="s">
        <v>137</v>
      </c>
      <c r="E34" s="30" t="s">
        <v>135</v>
      </c>
      <c r="F34" s="46">
        <v>1.0</v>
      </c>
      <c r="G34" s="46"/>
      <c r="H34" s="33">
        <v>75.0</v>
      </c>
      <c r="I34" s="30" t="s">
        <v>19</v>
      </c>
    </row>
    <row r="35" ht="15.0" customHeight="1">
      <c r="A35" s="42">
        <v>46306.0</v>
      </c>
      <c r="B35" s="30" t="s">
        <v>55</v>
      </c>
      <c r="C35" s="30" t="s">
        <v>68</v>
      </c>
      <c r="D35" s="30" t="s">
        <v>118</v>
      </c>
      <c r="E35" s="30" t="s">
        <v>14</v>
      </c>
      <c r="F35" s="46">
        <v>2.0</v>
      </c>
      <c r="G35" s="46"/>
      <c r="H35" s="33">
        <v>21.0</v>
      </c>
      <c r="I35" s="30" t="s">
        <v>109</v>
      </c>
    </row>
    <row r="36" ht="15.0" customHeight="1">
      <c r="A36" s="42">
        <v>46307.0</v>
      </c>
      <c r="B36" s="30" t="s">
        <v>80</v>
      </c>
      <c r="C36" s="30" t="s">
        <v>72</v>
      </c>
      <c r="D36" s="30" t="s">
        <v>140</v>
      </c>
      <c r="E36" s="30" t="s">
        <v>97</v>
      </c>
      <c r="F36" s="46">
        <v>3.0</v>
      </c>
      <c r="G36" s="46"/>
      <c r="H36" s="33">
        <v>270.25</v>
      </c>
      <c r="I36" s="30" t="s">
        <v>24</v>
      </c>
    </row>
    <row r="37" ht="15.0" customHeight="1">
      <c r="A37" s="42">
        <v>46307.0</v>
      </c>
      <c r="B37" s="30" t="s">
        <v>104</v>
      </c>
      <c r="C37" s="30" t="s">
        <v>72</v>
      </c>
      <c r="D37" s="30" t="s">
        <v>142</v>
      </c>
      <c r="E37" s="45" t="s">
        <v>73</v>
      </c>
      <c r="F37" s="46">
        <v>3.0</v>
      </c>
      <c r="G37" s="46"/>
      <c r="H37" s="33">
        <v>274.88</v>
      </c>
      <c r="I37" s="30" t="s">
        <v>24</v>
      </c>
    </row>
    <row r="38" ht="15.0" customHeight="1">
      <c r="A38" s="42">
        <v>46308.0</v>
      </c>
      <c r="B38" s="30" t="s">
        <v>133</v>
      </c>
      <c r="C38" s="30" t="s">
        <v>72</v>
      </c>
      <c r="D38" s="30" t="s">
        <v>145</v>
      </c>
      <c r="E38" s="30" t="s">
        <v>135</v>
      </c>
      <c r="F38" s="46">
        <v>1.0</v>
      </c>
      <c r="G38" s="46"/>
      <c r="H38" s="33">
        <v>180.0</v>
      </c>
      <c r="I38" s="30" t="s">
        <v>19</v>
      </c>
    </row>
    <row r="39" ht="15.0" customHeight="1">
      <c r="A39" s="42">
        <v>46308.0</v>
      </c>
      <c r="B39" s="30" t="s">
        <v>86</v>
      </c>
      <c r="C39" s="30" t="s">
        <v>72</v>
      </c>
      <c r="D39" s="30" t="s">
        <v>146</v>
      </c>
      <c r="E39" s="45" t="s">
        <v>73</v>
      </c>
      <c r="F39" s="46">
        <v>1.0</v>
      </c>
      <c r="G39" s="46"/>
      <c r="H39" s="33">
        <v>108.1</v>
      </c>
      <c r="I39" s="30" t="s">
        <v>24</v>
      </c>
    </row>
    <row r="40" ht="15.0" customHeight="1">
      <c r="A40" s="42">
        <v>46308.0</v>
      </c>
      <c r="B40" s="30" t="s">
        <v>148</v>
      </c>
      <c r="C40" s="30" t="s">
        <v>72</v>
      </c>
      <c r="D40" s="30" t="s">
        <v>150</v>
      </c>
      <c r="E40" s="30" t="s">
        <v>14</v>
      </c>
      <c r="F40" s="46">
        <v>1.0</v>
      </c>
      <c r="G40" s="46"/>
      <c r="H40" s="33">
        <v>122.22</v>
      </c>
      <c r="I40" s="30" t="s">
        <v>24</v>
      </c>
    </row>
    <row r="41" ht="15.0" customHeight="1">
      <c r="A41" s="42">
        <v>46308.0</v>
      </c>
      <c r="B41" s="30" t="s">
        <v>107</v>
      </c>
      <c r="C41" s="30" t="s">
        <v>72</v>
      </c>
      <c r="D41" s="30" t="s">
        <v>151</v>
      </c>
      <c r="E41" s="30" t="s">
        <v>14</v>
      </c>
      <c r="F41" s="46">
        <v>2.0</v>
      </c>
      <c r="G41" s="46"/>
      <c r="H41" s="33">
        <v>268.94</v>
      </c>
      <c r="I41" s="30" t="s">
        <v>24</v>
      </c>
    </row>
    <row r="42" ht="15.0" customHeight="1">
      <c r="A42" s="42">
        <v>46308.0</v>
      </c>
      <c r="B42" s="30" t="s">
        <v>80</v>
      </c>
      <c r="C42" s="30" t="s">
        <v>29</v>
      </c>
      <c r="D42" s="30" t="s">
        <v>140</v>
      </c>
      <c r="E42" s="30" t="s">
        <v>135</v>
      </c>
      <c r="F42" s="46">
        <v>3.0</v>
      </c>
      <c r="G42" s="46"/>
      <c r="H42" s="33">
        <v>30.0</v>
      </c>
      <c r="I42" s="30" t="s">
        <v>109</v>
      </c>
    </row>
    <row r="43" ht="15.0" customHeight="1">
      <c r="A43" s="42">
        <v>46309.0</v>
      </c>
      <c r="B43" s="30" t="s">
        <v>86</v>
      </c>
      <c r="C43" s="30" t="s">
        <v>72</v>
      </c>
      <c r="D43" s="30" t="s">
        <v>146</v>
      </c>
      <c r="E43" s="45" t="s">
        <v>73</v>
      </c>
      <c r="F43" s="46">
        <v>2.0</v>
      </c>
      <c r="G43" s="60"/>
      <c r="H43" s="33">
        <v>108.0</v>
      </c>
      <c r="I43" s="30" t="s">
        <v>109</v>
      </c>
    </row>
    <row r="44" ht="15.0" customHeight="1">
      <c r="A44" s="42">
        <v>46309.0</v>
      </c>
      <c r="B44" s="61" t="s">
        <v>122</v>
      </c>
      <c r="C44" s="61" t="s">
        <v>72</v>
      </c>
      <c r="D44" s="61" t="s">
        <v>158</v>
      </c>
      <c r="E44" s="61" t="s">
        <v>97</v>
      </c>
      <c r="F44" s="62">
        <v>2.0</v>
      </c>
      <c r="G44" s="60"/>
      <c r="H44" s="63">
        <v>97.16</v>
      </c>
      <c r="I44" s="61" t="s">
        <v>24</v>
      </c>
    </row>
    <row r="45" ht="15.0" customHeight="1">
      <c r="A45" s="42">
        <v>46309.0</v>
      </c>
      <c r="B45" s="61" t="s">
        <v>159</v>
      </c>
      <c r="C45" s="61" t="s">
        <v>72</v>
      </c>
      <c r="D45" s="61" t="s">
        <v>160</v>
      </c>
      <c r="E45" s="64" t="s">
        <v>73</v>
      </c>
      <c r="F45" s="62">
        <v>2.0</v>
      </c>
      <c r="G45" s="60"/>
      <c r="H45" s="63">
        <v>121.46</v>
      </c>
      <c r="I45" s="61" t="s">
        <v>24</v>
      </c>
    </row>
    <row r="46" ht="15.0" customHeight="1">
      <c r="A46" s="42">
        <v>46309.0</v>
      </c>
      <c r="B46" s="30" t="s">
        <v>18</v>
      </c>
      <c r="C46" s="30" t="s">
        <v>72</v>
      </c>
      <c r="D46" s="30" t="s">
        <v>161</v>
      </c>
      <c r="E46" s="30" t="s">
        <v>14</v>
      </c>
      <c r="F46" s="46">
        <v>1.0</v>
      </c>
      <c r="G46" s="60"/>
      <c r="H46" s="33">
        <v>118.4</v>
      </c>
      <c r="I46" s="30" t="s">
        <v>24</v>
      </c>
    </row>
    <row r="47" ht="15.0" customHeight="1">
      <c r="A47" s="42">
        <v>46309.0</v>
      </c>
      <c r="B47" s="30" t="s">
        <v>133</v>
      </c>
      <c r="C47" s="30" t="s">
        <v>72</v>
      </c>
      <c r="D47" s="30" t="s">
        <v>145</v>
      </c>
      <c r="E47" s="30" t="s">
        <v>135</v>
      </c>
      <c r="F47" s="46">
        <v>1.0</v>
      </c>
      <c r="G47" s="60"/>
      <c r="H47" s="33">
        <v>180.0</v>
      </c>
      <c r="I47" s="30" t="s">
        <v>109</v>
      </c>
    </row>
    <row r="48" ht="15.0" customHeight="1">
      <c r="A48" s="42">
        <v>46310.0</v>
      </c>
      <c r="B48" s="30" t="s">
        <v>107</v>
      </c>
      <c r="C48" s="30" t="s">
        <v>72</v>
      </c>
      <c r="D48" s="30" t="s">
        <v>151</v>
      </c>
      <c r="E48" s="30" t="s">
        <v>135</v>
      </c>
      <c r="F48" s="46">
        <v>2.0</v>
      </c>
      <c r="G48" s="60"/>
      <c r="H48" s="33">
        <v>100.0</v>
      </c>
      <c r="I48" s="30" t="s">
        <v>24</v>
      </c>
    </row>
    <row r="49" ht="15.0" customHeight="1">
      <c r="A49" s="42">
        <v>46310.0</v>
      </c>
      <c r="B49" s="30" t="s">
        <v>18</v>
      </c>
      <c r="C49" s="30" t="s">
        <v>72</v>
      </c>
      <c r="D49" s="30" t="s">
        <v>162</v>
      </c>
      <c r="E49" s="30" t="s">
        <v>135</v>
      </c>
      <c r="F49" s="46">
        <v>2.0</v>
      </c>
      <c r="G49" s="60"/>
      <c r="H49" s="33">
        <v>168.84</v>
      </c>
      <c r="I49" s="30" t="s">
        <v>19</v>
      </c>
    </row>
    <row r="50" ht="15.0" customHeight="1">
      <c r="A50" s="42">
        <v>46310.0</v>
      </c>
      <c r="B50" s="30" t="s">
        <v>18</v>
      </c>
      <c r="C50" s="30" t="s">
        <v>72</v>
      </c>
      <c r="D50" s="30" t="s">
        <v>162</v>
      </c>
      <c r="E50" s="30" t="s">
        <v>135</v>
      </c>
      <c r="F50" s="46">
        <v>2.0</v>
      </c>
      <c r="G50" s="60"/>
      <c r="H50" s="55">
        <f>10000/459</f>
        <v>21.78649237</v>
      </c>
      <c r="I50" s="30" t="s">
        <v>19</v>
      </c>
    </row>
    <row r="51" ht="15.0" customHeight="1">
      <c r="A51" s="42">
        <v>46310.0</v>
      </c>
      <c r="B51" s="30" t="s">
        <v>104</v>
      </c>
      <c r="C51" s="30" t="s">
        <v>72</v>
      </c>
      <c r="D51" s="30" t="s">
        <v>163</v>
      </c>
      <c r="E51" s="45" t="s">
        <v>73</v>
      </c>
      <c r="F51" s="46">
        <v>3.0</v>
      </c>
      <c r="G51" s="60"/>
      <c r="H51" s="33">
        <v>403.58</v>
      </c>
      <c r="I51" s="30" t="s">
        <v>24</v>
      </c>
    </row>
    <row r="52" ht="15.0" customHeight="1">
      <c r="A52" s="42">
        <v>46310.0</v>
      </c>
      <c r="B52" s="30" t="s">
        <v>80</v>
      </c>
      <c r="C52" s="30" t="s">
        <v>72</v>
      </c>
      <c r="D52" s="30" t="s">
        <v>164</v>
      </c>
      <c r="E52" s="45" t="s">
        <v>73</v>
      </c>
      <c r="F52" s="46">
        <v>2.0</v>
      </c>
      <c r="G52" s="60"/>
      <c r="H52" s="33">
        <v>191.06</v>
      </c>
      <c r="I52" s="30" t="s">
        <v>24</v>
      </c>
    </row>
    <row r="53" ht="15.0" customHeight="1">
      <c r="A53" s="42">
        <v>46310.0</v>
      </c>
      <c r="B53" s="30" t="s">
        <v>165</v>
      </c>
      <c r="C53" s="30" t="s">
        <v>72</v>
      </c>
      <c r="D53" s="30" t="s">
        <v>166</v>
      </c>
      <c r="E53" s="30" t="s">
        <v>14</v>
      </c>
      <c r="F53" s="46">
        <v>1.0</v>
      </c>
      <c r="G53" s="60"/>
      <c r="H53" s="33">
        <v>135.74</v>
      </c>
      <c r="I53" s="30" t="s">
        <v>19</v>
      </c>
    </row>
    <row r="54" ht="15.0" customHeight="1">
      <c r="A54" s="42">
        <v>46310.0</v>
      </c>
      <c r="B54" s="30" t="s">
        <v>165</v>
      </c>
      <c r="C54" s="30" t="s">
        <v>72</v>
      </c>
      <c r="D54" s="30" t="s">
        <v>166</v>
      </c>
      <c r="E54" s="30" t="s">
        <v>14</v>
      </c>
      <c r="F54" s="46">
        <v>1.0</v>
      </c>
      <c r="G54" s="60"/>
      <c r="H54" s="55">
        <f>10000/459</f>
        <v>21.78649237</v>
      </c>
      <c r="I54" s="30" t="s">
        <v>19</v>
      </c>
    </row>
    <row r="55" ht="15.0" customHeight="1">
      <c r="A55" s="42">
        <v>46310.0</v>
      </c>
      <c r="B55" s="30" t="s">
        <v>55</v>
      </c>
      <c r="C55" s="30" t="s">
        <v>72</v>
      </c>
      <c r="D55" s="30" t="s">
        <v>167</v>
      </c>
      <c r="E55" s="30" t="s">
        <v>14</v>
      </c>
      <c r="F55" s="46">
        <v>1.0</v>
      </c>
      <c r="G55" s="60"/>
      <c r="H55" s="33">
        <v>117.44</v>
      </c>
      <c r="I55" s="30" t="s">
        <v>24</v>
      </c>
    </row>
    <row r="56" ht="15.0" customHeight="1">
      <c r="A56" s="42">
        <v>46310.0</v>
      </c>
      <c r="B56" s="30" t="s">
        <v>169</v>
      </c>
      <c r="C56" s="30" t="s">
        <v>110</v>
      </c>
      <c r="D56" s="30" t="s">
        <v>170</v>
      </c>
      <c r="E56" s="30" t="s">
        <v>135</v>
      </c>
      <c r="F56" s="46">
        <v>0.0</v>
      </c>
      <c r="G56" s="60"/>
      <c r="H56" s="33">
        <v>20.0</v>
      </c>
      <c r="I56" s="30" t="s">
        <v>24</v>
      </c>
    </row>
    <row r="57" ht="15.0" customHeight="1">
      <c r="A57" s="42">
        <v>46311.0</v>
      </c>
      <c r="B57" s="30" t="s">
        <v>133</v>
      </c>
      <c r="C57" s="30" t="s">
        <v>72</v>
      </c>
      <c r="D57" s="30" t="s">
        <v>171</v>
      </c>
      <c r="E57" s="30" t="s">
        <v>14</v>
      </c>
      <c r="F57" s="46">
        <v>1.0</v>
      </c>
      <c r="G57" s="60"/>
      <c r="H57" s="33">
        <v>133.88</v>
      </c>
      <c r="I57" s="30" t="s">
        <v>24</v>
      </c>
    </row>
    <row r="58" ht="15.0" customHeight="1">
      <c r="A58" s="42">
        <v>46311.0</v>
      </c>
      <c r="B58" s="30" t="s">
        <v>133</v>
      </c>
      <c r="C58" s="30" t="s">
        <v>72</v>
      </c>
      <c r="D58" s="30" t="s">
        <v>171</v>
      </c>
      <c r="E58" s="30" t="s">
        <v>14</v>
      </c>
      <c r="F58" s="46">
        <v>1.0</v>
      </c>
      <c r="G58" s="60"/>
      <c r="H58" s="33">
        <f>10000/459</f>
        <v>21.78649237</v>
      </c>
      <c r="I58" s="30" t="s">
        <v>19</v>
      </c>
    </row>
    <row r="59" ht="15.0" customHeight="1">
      <c r="A59" s="42">
        <v>46311.0</v>
      </c>
      <c r="B59" s="30" t="s">
        <v>107</v>
      </c>
      <c r="C59" s="30" t="s">
        <v>72</v>
      </c>
      <c r="D59" s="30" t="s">
        <v>172</v>
      </c>
      <c r="E59" s="30" t="s">
        <v>97</v>
      </c>
      <c r="F59" s="46">
        <v>2.0</v>
      </c>
      <c r="G59" s="60"/>
      <c r="H59" s="33">
        <v>280.84</v>
      </c>
      <c r="I59" s="30" t="s">
        <v>24</v>
      </c>
    </row>
    <row r="60" ht="15.0" customHeight="1">
      <c r="A60" s="42">
        <v>46311.0</v>
      </c>
      <c r="B60" s="30" t="s">
        <v>159</v>
      </c>
      <c r="C60" s="30" t="s">
        <v>72</v>
      </c>
      <c r="D60" s="30" t="s">
        <v>173</v>
      </c>
      <c r="E60" s="30" t="s">
        <v>14</v>
      </c>
      <c r="F60" s="46">
        <v>2.0</v>
      </c>
      <c r="G60" s="60"/>
      <c r="H60" s="33">
        <v>140.0</v>
      </c>
      <c r="I60" s="30" t="s">
        <v>24</v>
      </c>
    </row>
    <row r="61" ht="15.0" customHeight="1">
      <c r="A61" s="42">
        <v>46311.0</v>
      </c>
      <c r="B61" s="30" t="s">
        <v>165</v>
      </c>
      <c r="C61" s="30" t="s">
        <v>72</v>
      </c>
      <c r="D61" s="30" t="s">
        <v>177</v>
      </c>
      <c r="E61" s="30" t="s">
        <v>14</v>
      </c>
      <c r="F61" s="46">
        <v>2.0</v>
      </c>
      <c r="G61" s="60"/>
      <c r="H61" s="33">
        <v>207.2</v>
      </c>
      <c r="I61" s="30" t="s">
        <v>24</v>
      </c>
    </row>
    <row r="62" ht="15.0" customHeight="1">
      <c r="A62" s="42">
        <v>46311.0</v>
      </c>
      <c r="B62" s="30" t="s">
        <v>131</v>
      </c>
      <c r="C62" s="30" t="s">
        <v>72</v>
      </c>
      <c r="D62" s="30" t="s">
        <v>180</v>
      </c>
      <c r="E62" s="30" t="s">
        <v>135</v>
      </c>
      <c r="F62" s="46">
        <v>1.0</v>
      </c>
      <c r="G62" s="60"/>
      <c r="H62" s="33">
        <v>111.0</v>
      </c>
      <c r="I62" s="30" t="s">
        <v>24</v>
      </c>
    </row>
    <row r="63" ht="15.0" customHeight="1">
      <c r="A63" s="42">
        <v>46311.0</v>
      </c>
      <c r="B63" s="30" t="s">
        <v>100</v>
      </c>
      <c r="C63" s="30" t="s">
        <v>72</v>
      </c>
      <c r="D63" s="30" t="s">
        <v>164</v>
      </c>
      <c r="E63" s="30" t="s">
        <v>135</v>
      </c>
      <c r="F63" s="46">
        <v>1.0</v>
      </c>
      <c r="G63" s="60"/>
      <c r="H63" s="33">
        <v>124.0</v>
      </c>
      <c r="I63" s="30" t="s">
        <v>109</v>
      </c>
    </row>
    <row r="64" ht="15.0" customHeight="1">
      <c r="A64" s="42">
        <v>46311.0</v>
      </c>
      <c r="B64" s="30" t="s">
        <v>86</v>
      </c>
      <c r="C64" s="30" t="s">
        <v>72</v>
      </c>
      <c r="D64" s="30" t="s">
        <v>181</v>
      </c>
      <c r="E64" s="30" t="s">
        <v>14</v>
      </c>
      <c r="F64" s="46">
        <v>2.0</v>
      </c>
      <c r="G64" s="60"/>
      <c r="H64" s="33">
        <v>208.93</v>
      </c>
      <c r="I64" s="30" t="s">
        <v>24</v>
      </c>
    </row>
    <row r="65" ht="15.0" customHeight="1">
      <c r="A65" s="42">
        <v>46311.0</v>
      </c>
      <c r="B65" s="30" t="s">
        <v>55</v>
      </c>
      <c r="C65" s="30" t="s">
        <v>72</v>
      </c>
      <c r="D65" s="30" t="s">
        <v>167</v>
      </c>
      <c r="E65" s="30" t="s">
        <v>135</v>
      </c>
      <c r="F65" s="46">
        <v>1.0</v>
      </c>
      <c r="G65" s="60"/>
      <c r="H65" s="33">
        <v>260.0</v>
      </c>
      <c r="I65" s="30" t="s">
        <v>109</v>
      </c>
    </row>
    <row r="66" ht="15.0" customHeight="1">
      <c r="A66" s="42">
        <v>46312.0</v>
      </c>
      <c r="B66" s="30" t="s">
        <v>107</v>
      </c>
      <c r="C66" s="30" t="s">
        <v>29</v>
      </c>
      <c r="D66" s="30" t="s">
        <v>172</v>
      </c>
      <c r="E66" s="30" t="s">
        <v>97</v>
      </c>
      <c r="F66" s="46">
        <v>2.0</v>
      </c>
      <c r="G66" s="60"/>
      <c r="H66" s="33">
        <v>40.0</v>
      </c>
      <c r="I66" s="30" t="s">
        <v>109</v>
      </c>
    </row>
    <row r="67" ht="15.0" customHeight="1">
      <c r="A67" s="42">
        <v>46312.0</v>
      </c>
      <c r="B67" s="30" t="s">
        <v>183</v>
      </c>
      <c r="C67" s="30" t="s">
        <v>72</v>
      </c>
      <c r="D67" s="30" t="s">
        <v>185</v>
      </c>
      <c r="E67" s="45" t="s">
        <v>73</v>
      </c>
      <c r="F67" s="46">
        <v>1.0</v>
      </c>
      <c r="G67" s="60"/>
      <c r="H67" s="33">
        <v>140.31</v>
      </c>
      <c r="I67" s="30" t="s">
        <v>24</v>
      </c>
    </row>
    <row r="68" ht="15.0" customHeight="1">
      <c r="A68" s="42">
        <v>46312.0</v>
      </c>
      <c r="B68" s="30" t="s">
        <v>131</v>
      </c>
      <c r="C68" s="30" t="s">
        <v>72</v>
      </c>
      <c r="D68" s="30" t="s">
        <v>186</v>
      </c>
      <c r="E68" s="45" t="s">
        <v>73</v>
      </c>
      <c r="F68" s="46">
        <v>2.0</v>
      </c>
      <c r="G68" s="60"/>
      <c r="H68" s="33">
        <v>217.65</v>
      </c>
      <c r="I68" s="30" t="s">
        <v>24</v>
      </c>
    </row>
    <row r="69" ht="15.0" customHeight="1">
      <c r="A69" s="42">
        <v>46312.0</v>
      </c>
      <c r="B69" s="30" t="s">
        <v>80</v>
      </c>
      <c r="C69" s="30" t="s">
        <v>72</v>
      </c>
      <c r="D69" s="30" t="s">
        <v>187</v>
      </c>
      <c r="E69" s="30" t="s">
        <v>14</v>
      </c>
      <c r="F69" s="46">
        <v>1.0</v>
      </c>
      <c r="G69" s="60"/>
      <c r="H69" s="33">
        <v>163.66</v>
      </c>
      <c r="I69" s="30" t="s">
        <v>24</v>
      </c>
    </row>
    <row r="70" ht="15.0" customHeight="1">
      <c r="A70" s="42">
        <v>46312.0</v>
      </c>
      <c r="B70" s="30" t="s">
        <v>133</v>
      </c>
      <c r="C70" s="30" t="s">
        <v>72</v>
      </c>
      <c r="D70" s="30" t="s">
        <v>188</v>
      </c>
      <c r="E70" s="30" t="s">
        <v>14</v>
      </c>
      <c r="F70" s="46">
        <v>1.0</v>
      </c>
      <c r="G70" s="60"/>
      <c r="H70" s="33">
        <v>253.33</v>
      </c>
      <c r="I70" s="30" t="s">
        <v>24</v>
      </c>
    </row>
    <row r="71" ht="15.0" customHeight="1">
      <c r="A71" s="42">
        <v>46312.0</v>
      </c>
      <c r="B71" s="30" t="s">
        <v>148</v>
      </c>
      <c r="C71" s="30" t="s">
        <v>72</v>
      </c>
      <c r="D71" s="30" t="s">
        <v>190</v>
      </c>
      <c r="E71" s="30" t="s">
        <v>135</v>
      </c>
      <c r="F71" s="46">
        <v>2.0</v>
      </c>
      <c r="G71" s="60"/>
      <c r="H71" s="33">
        <v>289.28</v>
      </c>
      <c r="I71" s="30" t="s">
        <v>24</v>
      </c>
    </row>
    <row r="72" ht="15.0" customHeight="1">
      <c r="A72" s="42">
        <v>46312.0</v>
      </c>
      <c r="B72" s="30" t="s">
        <v>122</v>
      </c>
      <c r="C72" s="30" t="s">
        <v>72</v>
      </c>
      <c r="D72" s="30" t="s">
        <v>192</v>
      </c>
      <c r="E72" s="30" t="s">
        <v>135</v>
      </c>
      <c r="F72" s="46">
        <v>2.0</v>
      </c>
      <c r="G72" s="60"/>
      <c r="H72" s="33">
        <v>139.67</v>
      </c>
      <c r="I72" s="30" t="s">
        <v>24</v>
      </c>
    </row>
    <row r="73" ht="15.0" customHeight="1">
      <c r="A73" s="42">
        <v>46312.0</v>
      </c>
      <c r="B73" s="30" t="s">
        <v>114</v>
      </c>
      <c r="C73" s="30" t="s">
        <v>72</v>
      </c>
      <c r="D73" s="30" t="s">
        <v>194</v>
      </c>
      <c r="E73" s="30" t="s">
        <v>135</v>
      </c>
      <c r="F73" s="46">
        <v>1.0</v>
      </c>
      <c r="G73" s="60"/>
      <c r="H73" s="33">
        <v>113.28</v>
      </c>
      <c r="I73" s="30" t="s">
        <v>24</v>
      </c>
    </row>
    <row r="74" ht="15.0" customHeight="1">
      <c r="A74" s="42">
        <v>46312.0</v>
      </c>
      <c r="B74" s="30" t="s">
        <v>136</v>
      </c>
      <c r="C74" s="30" t="s">
        <v>72</v>
      </c>
      <c r="D74" s="30" t="s">
        <v>196</v>
      </c>
      <c r="E74" s="30" t="s">
        <v>14</v>
      </c>
      <c r="F74" s="46">
        <v>1.0</v>
      </c>
      <c r="G74" s="60"/>
      <c r="H74" s="33">
        <v>255.38</v>
      </c>
      <c r="I74" s="30" t="s">
        <v>24</v>
      </c>
    </row>
    <row r="75" ht="15.0" customHeight="1">
      <c r="A75" s="42">
        <v>46312.0</v>
      </c>
      <c r="B75" s="30" t="s">
        <v>148</v>
      </c>
      <c r="C75" s="30" t="s">
        <v>72</v>
      </c>
      <c r="D75" s="30" t="s">
        <v>200</v>
      </c>
      <c r="E75" s="30" t="s">
        <v>135</v>
      </c>
      <c r="F75" s="46">
        <v>1.0</v>
      </c>
      <c r="G75" s="60"/>
      <c r="H75" s="33">
        <v>174.29</v>
      </c>
      <c r="I75" s="30" t="s">
        <v>24</v>
      </c>
    </row>
    <row r="76" ht="15.0" customHeight="1">
      <c r="A76" s="42">
        <v>46313.0</v>
      </c>
      <c r="B76" s="30" t="s">
        <v>104</v>
      </c>
      <c r="C76" s="30" t="s">
        <v>72</v>
      </c>
      <c r="D76" s="30" t="s">
        <v>202</v>
      </c>
      <c r="E76" s="30" t="s">
        <v>14</v>
      </c>
      <c r="F76" s="46">
        <v>3.0</v>
      </c>
      <c r="G76" s="60"/>
      <c r="H76" s="33">
        <v>329.96</v>
      </c>
      <c r="I76" s="30" t="s">
        <v>24</v>
      </c>
    </row>
    <row r="77" ht="15.0" customHeight="1">
      <c r="A77" s="42">
        <v>46313.0</v>
      </c>
      <c r="B77" s="30" t="s">
        <v>55</v>
      </c>
      <c r="C77" s="30" t="s">
        <v>72</v>
      </c>
      <c r="D77" s="30" t="s">
        <v>203</v>
      </c>
      <c r="E77" s="30" t="s">
        <v>135</v>
      </c>
      <c r="F77" s="46">
        <v>1.0</v>
      </c>
      <c r="G77" s="60"/>
      <c r="H77" s="55">
        <f>65000/459</f>
        <v>141.6122004</v>
      </c>
      <c r="I77" s="30" t="s">
        <v>24</v>
      </c>
    </row>
    <row r="78" ht="15.0" customHeight="1">
      <c r="A78" s="42">
        <v>46313.0</v>
      </c>
      <c r="B78" s="30" t="s">
        <v>80</v>
      </c>
      <c r="C78" s="30" t="s">
        <v>72</v>
      </c>
      <c r="D78" s="30" t="s">
        <v>205</v>
      </c>
      <c r="E78" s="30" t="s">
        <v>135</v>
      </c>
      <c r="F78" s="46">
        <v>1.0</v>
      </c>
      <c r="G78" s="60"/>
      <c r="H78" s="55">
        <f>70000/459</f>
        <v>152.5054466</v>
      </c>
      <c r="I78" s="30" t="s">
        <v>24</v>
      </c>
    </row>
    <row r="79" ht="15.0" customHeight="1">
      <c r="A79" s="42">
        <v>46313.0</v>
      </c>
      <c r="B79" s="30" t="s">
        <v>165</v>
      </c>
      <c r="C79" s="30" t="s">
        <v>72</v>
      </c>
      <c r="D79" s="30" t="s">
        <v>207</v>
      </c>
      <c r="E79" s="30" t="s">
        <v>135</v>
      </c>
      <c r="F79" s="46">
        <v>1.0</v>
      </c>
      <c r="G79" s="60"/>
      <c r="H79" s="33">
        <v>152.51</v>
      </c>
      <c r="I79" s="30" t="s">
        <v>24</v>
      </c>
    </row>
    <row r="80" ht="15.0" customHeight="1">
      <c r="A80" s="42">
        <v>46313.0</v>
      </c>
      <c r="B80" s="30" t="s">
        <v>86</v>
      </c>
      <c r="C80" s="30" t="s">
        <v>72</v>
      </c>
      <c r="D80" s="30" t="s">
        <v>210</v>
      </c>
      <c r="E80" s="30" t="s">
        <v>14</v>
      </c>
      <c r="F80" s="46">
        <v>3.0</v>
      </c>
      <c r="G80" s="60"/>
      <c r="H80" s="33">
        <v>235.2</v>
      </c>
      <c r="I80" s="30" t="s">
        <v>24</v>
      </c>
    </row>
    <row r="81" ht="15.0" customHeight="1">
      <c r="A81" s="42">
        <v>46313.0</v>
      </c>
      <c r="B81" s="30" t="s">
        <v>107</v>
      </c>
      <c r="C81" s="30" t="s">
        <v>72</v>
      </c>
      <c r="D81" s="30" t="s">
        <v>212</v>
      </c>
      <c r="E81" s="30" t="s">
        <v>14</v>
      </c>
      <c r="F81" s="46">
        <v>1.0</v>
      </c>
      <c r="G81" s="60"/>
      <c r="H81" s="33">
        <f>50000/459</f>
        <v>108.9324619</v>
      </c>
      <c r="I81" s="30" t="s">
        <v>24</v>
      </c>
    </row>
    <row r="82" ht="15.0" customHeight="1">
      <c r="A82" s="42">
        <v>46313.0</v>
      </c>
      <c r="B82" s="30" t="s">
        <v>107</v>
      </c>
      <c r="C82" s="30" t="s">
        <v>72</v>
      </c>
      <c r="D82" s="30" t="s">
        <v>172</v>
      </c>
      <c r="E82" s="30" t="s">
        <v>97</v>
      </c>
      <c r="F82" s="46">
        <v>2.0</v>
      </c>
      <c r="G82" s="60"/>
      <c r="H82" s="33">
        <f>10000/459</f>
        <v>21.78649237</v>
      </c>
      <c r="I82" s="30" t="s">
        <v>24</v>
      </c>
    </row>
    <row r="83" ht="15.0" customHeight="1">
      <c r="A83" s="42">
        <v>46313.0</v>
      </c>
      <c r="B83" s="30" t="s">
        <v>100</v>
      </c>
      <c r="C83" s="30" t="s">
        <v>72</v>
      </c>
      <c r="D83" s="30" t="s">
        <v>213</v>
      </c>
      <c r="E83" s="30" t="s">
        <v>135</v>
      </c>
      <c r="F83" s="46">
        <v>1.0</v>
      </c>
      <c r="G83" s="60"/>
      <c r="H83" s="33">
        <f>35000/459</f>
        <v>76.25272331</v>
      </c>
      <c r="I83" s="30" t="s">
        <v>24</v>
      </c>
    </row>
    <row r="84" ht="15.0" customHeight="1">
      <c r="A84" s="42">
        <v>46314.0</v>
      </c>
      <c r="B84" s="30" t="s">
        <v>131</v>
      </c>
      <c r="C84" s="30" t="s">
        <v>72</v>
      </c>
      <c r="D84" s="30" t="s">
        <v>216</v>
      </c>
      <c r="E84" s="45" t="s">
        <v>73</v>
      </c>
      <c r="F84" s="46">
        <v>2.0</v>
      </c>
      <c r="G84" s="60"/>
      <c r="H84" s="33">
        <v>202.51</v>
      </c>
      <c r="I84" s="30" t="s">
        <v>24</v>
      </c>
    </row>
    <row r="85" ht="15.0" customHeight="1">
      <c r="A85" s="42">
        <v>46314.0</v>
      </c>
      <c r="B85" s="30" t="s">
        <v>122</v>
      </c>
      <c r="C85" s="30" t="s">
        <v>72</v>
      </c>
      <c r="D85" s="30" t="s">
        <v>219</v>
      </c>
      <c r="E85" s="45" t="s">
        <v>73</v>
      </c>
      <c r="F85" s="46">
        <v>3.0</v>
      </c>
      <c r="G85" s="60"/>
      <c r="H85" s="33">
        <v>169.61</v>
      </c>
      <c r="I85" s="30" t="s">
        <v>24</v>
      </c>
    </row>
    <row r="86" ht="15.0" customHeight="1">
      <c r="A86" s="42">
        <v>46315.0</v>
      </c>
      <c r="B86" s="30" t="s">
        <v>107</v>
      </c>
      <c r="C86" s="30" t="s">
        <v>72</v>
      </c>
      <c r="D86" s="30" t="s">
        <v>221</v>
      </c>
      <c r="E86" s="30" t="s">
        <v>14</v>
      </c>
      <c r="F86" s="46">
        <v>2.0</v>
      </c>
      <c r="G86" s="60"/>
      <c r="H86" s="33">
        <v>293.94</v>
      </c>
      <c r="I86" s="30" t="s">
        <v>24</v>
      </c>
    </row>
    <row r="87" ht="15.0" customHeight="1">
      <c r="A87" s="42">
        <v>46315.0</v>
      </c>
      <c r="B87" s="30" t="s">
        <v>80</v>
      </c>
      <c r="C87" s="30" t="s">
        <v>72</v>
      </c>
      <c r="D87" s="30" t="s">
        <v>222</v>
      </c>
      <c r="E87" s="30" t="s">
        <v>14</v>
      </c>
      <c r="F87" s="46">
        <v>1.0</v>
      </c>
      <c r="G87" s="60"/>
      <c r="H87" s="33">
        <v>153.68</v>
      </c>
      <c r="I87" s="30" t="s">
        <v>24</v>
      </c>
    </row>
    <row r="88" ht="15.0" customHeight="1">
      <c r="A88" s="42">
        <v>46315.0</v>
      </c>
      <c r="B88" s="30" t="s">
        <v>148</v>
      </c>
      <c r="C88" s="30" t="s">
        <v>72</v>
      </c>
      <c r="D88" s="30" t="s">
        <v>223</v>
      </c>
      <c r="E88" s="30" t="s">
        <v>14</v>
      </c>
      <c r="F88" s="46">
        <v>2.0</v>
      </c>
      <c r="G88" s="60"/>
      <c r="H88" s="33">
        <v>231.31</v>
      </c>
      <c r="I88" s="30" t="s">
        <v>24</v>
      </c>
    </row>
    <row r="89" ht="15.0" customHeight="1">
      <c r="A89" s="42">
        <v>46316.0</v>
      </c>
      <c r="B89" s="30" t="s">
        <v>80</v>
      </c>
      <c r="C89" s="30" t="s">
        <v>72</v>
      </c>
      <c r="D89" s="30" t="s">
        <v>225</v>
      </c>
      <c r="E89" s="30" t="s">
        <v>14</v>
      </c>
      <c r="F89" s="46">
        <v>2.0</v>
      </c>
      <c r="G89" s="60"/>
      <c r="H89" s="33">
        <v>757.1</v>
      </c>
      <c r="I89" s="30" t="s">
        <v>24</v>
      </c>
    </row>
    <row r="90" ht="15.0" customHeight="1">
      <c r="A90" s="42">
        <v>46316.0</v>
      </c>
      <c r="B90" s="30" t="s">
        <v>133</v>
      </c>
      <c r="C90" s="30" t="s">
        <v>72</v>
      </c>
      <c r="D90" s="30" t="s">
        <v>226</v>
      </c>
      <c r="E90" s="45" t="s">
        <v>73</v>
      </c>
      <c r="F90" s="46">
        <v>2.0</v>
      </c>
      <c r="G90" s="60"/>
      <c r="H90" s="33">
        <v>269.44</v>
      </c>
      <c r="I90" s="30" t="s">
        <v>24</v>
      </c>
    </row>
    <row r="91" ht="15.0" customHeight="1">
      <c r="A91" s="42">
        <v>46316.0</v>
      </c>
      <c r="B91" s="30" t="s">
        <v>55</v>
      </c>
      <c r="C91" s="30" t="s">
        <v>72</v>
      </c>
      <c r="D91" s="30" t="s">
        <v>230</v>
      </c>
      <c r="E91" s="30" t="s">
        <v>135</v>
      </c>
      <c r="F91" s="46">
        <v>2.0</v>
      </c>
      <c r="G91" s="60"/>
      <c r="H91" s="33">
        <v>240.0</v>
      </c>
      <c r="I91" s="30" t="s">
        <v>19</v>
      </c>
    </row>
    <row r="92" ht="15.0" customHeight="1">
      <c r="A92" s="42">
        <v>46316.0</v>
      </c>
      <c r="B92" s="30" t="s">
        <v>165</v>
      </c>
      <c r="C92" s="30" t="s">
        <v>72</v>
      </c>
      <c r="D92" s="30" t="s">
        <v>231</v>
      </c>
      <c r="E92" s="45" t="s">
        <v>73</v>
      </c>
      <c r="F92" s="46">
        <v>2.0</v>
      </c>
      <c r="G92" s="60"/>
      <c r="H92" s="33">
        <v>242.74</v>
      </c>
      <c r="I92" s="30" t="s">
        <v>24</v>
      </c>
    </row>
    <row r="93" ht="15.0" customHeight="1">
      <c r="A93" s="42">
        <v>46316.0</v>
      </c>
      <c r="B93" s="30" t="s">
        <v>100</v>
      </c>
      <c r="C93" s="30" t="s">
        <v>72</v>
      </c>
      <c r="D93" s="30" t="s">
        <v>232</v>
      </c>
      <c r="E93" s="30" t="s">
        <v>135</v>
      </c>
      <c r="F93" s="46">
        <v>2.0</v>
      </c>
      <c r="G93" s="60"/>
      <c r="H93" s="33">
        <v>152.0</v>
      </c>
      <c r="I93" s="30" t="s">
        <v>19</v>
      </c>
    </row>
    <row r="94" ht="15.0" customHeight="1">
      <c r="A94" s="42">
        <v>46316.0</v>
      </c>
      <c r="B94" s="30" t="s">
        <v>122</v>
      </c>
      <c r="C94" s="30" t="s">
        <v>72</v>
      </c>
      <c r="D94" s="30" t="s">
        <v>233</v>
      </c>
      <c r="E94" s="45" t="s">
        <v>73</v>
      </c>
      <c r="F94" s="46">
        <v>1.0</v>
      </c>
      <c r="G94" s="60"/>
      <c r="H94" s="33">
        <v>127.62</v>
      </c>
      <c r="I94" s="30" t="s">
        <v>24</v>
      </c>
    </row>
    <row r="95" ht="15.0" customHeight="1">
      <c r="A95" s="42">
        <v>46316.0</v>
      </c>
      <c r="B95" s="30" t="s">
        <v>100</v>
      </c>
      <c r="C95" s="30" t="s">
        <v>68</v>
      </c>
      <c r="D95" s="30" t="s">
        <v>232</v>
      </c>
      <c r="E95" s="30" t="s">
        <v>135</v>
      </c>
      <c r="F95" s="46">
        <v>2.0</v>
      </c>
      <c r="G95" s="60"/>
      <c r="H95" s="55">
        <f>5000/459</f>
        <v>10.89324619</v>
      </c>
      <c r="I95" s="30" t="s">
        <v>109</v>
      </c>
    </row>
    <row r="96" ht="15.0" customHeight="1">
      <c r="A96" s="42">
        <v>46316.0</v>
      </c>
      <c r="B96" s="30" t="s">
        <v>80</v>
      </c>
      <c r="C96" s="30" t="s">
        <v>102</v>
      </c>
      <c r="D96" s="30" t="s">
        <v>225</v>
      </c>
      <c r="E96" s="30" t="s">
        <v>14</v>
      </c>
      <c r="F96" s="46">
        <v>2.0</v>
      </c>
      <c r="G96" s="60"/>
      <c r="H96" s="55">
        <f>20000/459</f>
        <v>43.57298475</v>
      </c>
      <c r="I96" s="30" t="s">
        <v>19</v>
      </c>
    </row>
    <row r="97" ht="15.0" customHeight="1">
      <c r="A97" s="75">
        <v>46317.0</v>
      </c>
      <c r="B97" s="30" t="s">
        <v>86</v>
      </c>
      <c r="C97" s="30" t="s">
        <v>72</v>
      </c>
      <c r="D97" s="30" t="s">
        <v>239</v>
      </c>
      <c r="E97" s="45" t="s">
        <v>73</v>
      </c>
      <c r="F97" s="46">
        <v>1.0</v>
      </c>
      <c r="G97" s="60"/>
      <c r="H97" s="33">
        <v>92.23</v>
      </c>
      <c r="I97" s="30" t="s">
        <v>24</v>
      </c>
    </row>
    <row r="98" ht="15.0" customHeight="1">
      <c r="A98" s="75">
        <v>46317.0</v>
      </c>
      <c r="B98" s="30" t="s">
        <v>131</v>
      </c>
      <c r="C98" s="30" t="s">
        <v>72</v>
      </c>
      <c r="D98" s="30" t="s">
        <v>244</v>
      </c>
      <c r="E98" s="30" t="s">
        <v>14</v>
      </c>
      <c r="F98" s="46">
        <v>3.0</v>
      </c>
      <c r="G98" s="60"/>
      <c r="H98" s="33">
        <v>457.09</v>
      </c>
      <c r="I98" s="30" t="s">
        <v>24</v>
      </c>
    </row>
    <row r="99" ht="15.0" customHeight="1">
      <c r="A99" s="75">
        <v>46317.0</v>
      </c>
      <c r="B99" s="30" t="s">
        <v>107</v>
      </c>
      <c r="C99" s="30" t="s">
        <v>72</v>
      </c>
      <c r="D99" s="30" t="s">
        <v>246</v>
      </c>
      <c r="E99" s="30" t="s">
        <v>14</v>
      </c>
      <c r="F99" s="46">
        <v>2.0</v>
      </c>
      <c r="G99" s="60"/>
      <c r="H99" s="33">
        <v>287.16</v>
      </c>
      <c r="I99" s="30" t="s">
        <v>24</v>
      </c>
    </row>
    <row r="100" ht="15.0" customHeight="1">
      <c r="A100" s="75">
        <v>46317.0</v>
      </c>
      <c r="B100" s="30" t="s">
        <v>18</v>
      </c>
      <c r="C100" s="30" t="s">
        <v>72</v>
      </c>
      <c r="D100" s="30" t="s">
        <v>249</v>
      </c>
      <c r="E100" s="30" t="s">
        <v>14</v>
      </c>
      <c r="F100" s="46">
        <v>1.0</v>
      </c>
      <c r="G100" s="60"/>
      <c r="H100" s="33">
        <v>150.29</v>
      </c>
      <c r="I100" s="30" t="s">
        <v>24</v>
      </c>
    </row>
    <row r="101" ht="15.0" customHeight="1">
      <c r="A101" s="75">
        <v>46317.0</v>
      </c>
      <c r="B101" s="30" t="s">
        <v>148</v>
      </c>
      <c r="C101" s="30" t="s">
        <v>72</v>
      </c>
      <c r="D101" s="30" t="s">
        <v>250</v>
      </c>
      <c r="E101" s="30" t="s">
        <v>14</v>
      </c>
      <c r="F101" s="46">
        <v>2.0</v>
      </c>
      <c r="G101" s="60"/>
      <c r="H101" s="33">
        <v>264.87</v>
      </c>
      <c r="I101" s="30" t="s">
        <v>24</v>
      </c>
    </row>
    <row r="102" ht="15.0" customHeight="1">
      <c r="A102" s="75">
        <v>46317.0</v>
      </c>
      <c r="B102" s="30" t="s">
        <v>136</v>
      </c>
      <c r="C102" s="30" t="s">
        <v>72</v>
      </c>
      <c r="D102" s="30" t="s">
        <v>251</v>
      </c>
      <c r="E102" s="30" t="s">
        <v>135</v>
      </c>
      <c r="F102" s="46">
        <v>1.0</v>
      </c>
      <c r="G102" s="60"/>
      <c r="H102" s="33">
        <v>125.0</v>
      </c>
      <c r="I102" s="30" t="s">
        <v>24</v>
      </c>
    </row>
    <row r="103" ht="15.0" customHeight="1">
      <c r="A103" s="75">
        <v>46318.0</v>
      </c>
      <c r="B103" s="30" t="s">
        <v>104</v>
      </c>
      <c r="C103" s="30" t="s">
        <v>72</v>
      </c>
      <c r="D103" s="30" t="s">
        <v>253</v>
      </c>
      <c r="E103" s="30" t="s">
        <v>14</v>
      </c>
      <c r="F103" s="46">
        <v>2.0</v>
      </c>
      <c r="G103" s="60"/>
      <c r="H103" s="33">
        <v>297.19</v>
      </c>
      <c r="I103" s="30" t="s">
        <v>24</v>
      </c>
    </row>
    <row r="104" ht="15.0" customHeight="1">
      <c r="A104" s="75">
        <v>46318.0</v>
      </c>
      <c r="B104" s="30" t="s">
        <v>104</v>
      </c>
      <c r="C104" s="30" t="s">
        <v>68</v>
      </c>
      <c r="D104" s="30" t="s">
        <v>253</v>
      </c>
      <c r="E104" s="30" t="s">
        <v>14</v>
      </c>
      <c r="F104" s="46">
        <v>2.0</v>
      </c>
      <c r="G104" s="60"/>
      <c r="H104" s="33">
        <f>10000/459</f>
        <v>21.78649237</v>
      </c>
      <c r="I104" s="30" t="s">
        <v>19</v>
      </c>
    </row>
    <row r="105" ht="15.0" customHeight="1">
      <c r="A105" s="75">
        <v>46318.0</v>
      </c>
      <c r="B105" s="30" t="s">
        <v>80</v>
      </c>
      <c r="C105" s="30" t="s">
        <v>72</v>
      </c>
      <c r="D105" s="30" t="s">
        <v>254</v>
      </c>
      <c r="E105" s="30" t="s">
        <v>14</v>
      </c>
      <c r="F105" s="46">
        <v>1.0</v>
      </c>
      <c r="G105" s="60"/>
      <c r="H105" s="33">
        <v>160.46</v>
      </c>
      <c r="I105" s="30" t="s">
        <v>24</v>
      </c>
    </row>
    <row r="106" ht="15.0" customHeight="1">
      <c r="A106" s="75">
        <v>46318.0</v>
      </c>
      <c r="B106" s="30" t="s">
        <v>18</v>
      </c>
      <c r="C106" s="30" t="s">
        <v>72</v>
      </c>
      <c r="D106" s="30" t="s">
        <v>255</v>
      </c>
      <c r="E106" s="30" t="s">
        <v>14</v>
      </c>
      <c r="F106" s="46">
        <v>2.0</v>
      </c>
      <c r="G106" s="60"/>
      <c r="H106" s="33">
        <v>277.08</v>
      </c>
      <c r="I106" s="30" t="s">
        <v>24</v>
      </c>
    </row>
    <row r="107" ht="15.0" customHeight="1">
      <c r="A107" s="75">
        <v>46318.0</v>
      </c>
      <c r="B107" s="30" t="s">
        <v>86</v>
      </c>
      <c r="C107" s="30" t="s">
        <v>72</v>
      </c>
      <c r="D107" s="30" t="s">
        <v>256</v>
      </c>
      <c r="E107" s="30" t="s">
        <v>135</v>
      </c>
      <c r="F107" s="46">
        <v>1.0</v>
      </c>
      <c r="G107" s="60"/>
      <c r="H107" s="55">
        <f>109000/459</f>
        <v>237.4727669</v>
      </c>
      <c r="I107" s="30" t="s">
        <v>24</v>
      </c>
    </row>
    <row r="108" ht="15.0" customHeight="1">
      <c r="A108" s="75">
        <v>46318.0</v>
      </c>
      <c r="B108" s="30" t="s">
        <v>122</v>
      </c>
      <c r="C108" s="30" t="s">
        <v>72</v>
      </c>
      <c r="D108" s="30" t="s">
        <v>259</v>
      </c>
      <c r="E108" s="45" t="s">
        <v>73</v>
      </c>
      <c r="F108" s="46">
        <v>2.0</v>
      </c>
      <c r="G108" s="60"/>
      <c r="H108" s="33">
        <v>156.66</v>
      </c>
      <c r="I108" s="30" t="s">
        <v>24</v>
      </c>
    </row>
    <row r="109" ht="15.0" customHeight="1">
      <c r="A109" s="75">
        <v>46319.0</v>
      </c>
      <c r="B109" s="30" t="s">
        <v>107</v>
      </c>
      <c r="C109" s="30" t="s">
        <v>72</v>
      </c>
      <c r="D109" s="30" t="s">
        <v>261</v>
      </c>
      <c r="E109" s="45" t="s">
        <v>73</v>
      </c>
      <c r="F109" s="46">
        <v>2.0</v>
      </c>
      <c r="G109" s="60"/>
      <c r="H109" s="33">
        <v>383.17</v>
      </c>
      <c r="I109" s="30" t="s">
        <v>24</v>
      </c>
    </row>
    <row r="110" ht="15.0" customHeight="1">
      <c r="A110" s="75">
        <v>46319.0</v>
      </c>
      <c r="B110" s="30" t="s">
        <v>133</v>
      </c>
      <c r="C110" s="30" t="s">
        <v>72</v>
      </c>
      <c r="D110" s="30" t="s">
        <v>262</v>
      </c>
      <c r="E110" s="30" t="s">
        <v>14</v>
      </c>
      <c r="F110" s="46">
        <v>1.0</v>
      </c>
      <c r="G110" s="60"/>
      <c r="H110" s="33">
        <v>202.5</v>
      </c>
      <c r="I110" s="30" t="s">
        <v>24</v>
      </c>
    </row>
    <row r="111" ht="15.0" customHeight="1">
      <c r="A111" s="75">
        <v>46319.0</v>
      </c>
      <c r="B111" s="30" t="s">
        <v>148</v>
      </c>
      <c r="C111" s="30" t="s">
        <v>72</v>
      </c>
      <c r="D111" s="30" t="s">
        <v>263</v>
      </c>
      <c r="E111" s="30" t="s">
        <v>14</v>
      </c>
      <c r="F111" s="46">
        <v>1.0</v>
      </c>
      <c r="G111" s="60"/>
      <c r="H111" s="33">
        <v>148.03</v>
      </c>
      <c r="I111" s="30" t="s">
        <v>24</v>
      </c>
    </row>
    <row r="112" ht="15.0" customHeight="1">
      <c r="A112" s="75">
        <v>46319.0</v>
      </c>
      <c r="B112" s="30" t="s">
        <v>165</v>
      </c>
      <c r="C112" s="30" t="s">
        <v>72</v>
      </c>
      <c r="D112" s="30" t="s">
        <v>264</v>
      </c>
      <c r="E112" s="30" t="s">
        <v>14</v>
      </c>
      <c r="F112" s="46">
        <v>1.0</v>
      </c>
      <c r="G112" s="60"/>
      <c r="H112" s="33">
        <v>133.34</v>
      </c>
      <c r="I112" s="30" t="s">
        <v>24</v>
      </c>
    </row>
    <row r="113" ht="15.0" customHeight="1">
      <c r="A113" s="75">
        <v>46319.0</v>
      </c>
      <c r="B113" s="30" t="s">
        <v>18</v>
      </c>
      <c r="C113" s="30" t="s">
        <v>102</v>
      </c>
      <c r="D113" s="30" t="s">
        <v>255</v>
      </c>
      <c r="E113" s="30" t="s">
        <v>14</v>
      </c>
      <c r="F113" s="46">
        <v>2.0</v>
      </c>
      <c r="G113" s="60"/>
      <c r="H113" s="33">
        <v>20.0</v>
      </c>
      <c r="I113" s="30" t="s">
        <v>109</v>
      </c>
    </row>
    <row r="114" ht="15.0" customHeight="1">
      <c r="A114" s="75">
        <v>46319.0</v>
      </c>
      <c r="B114" s="30" t="s">
        <v>80</v>
      </c>
      <c r="C114" s="30" t="s">
        <v>102</v>
      </c>
      <c r="D114" s="30" t="s">
        <v>267</v>
      </c>
      <c r="E114" s="30" t="s">
        <v>135</v>
      </c>
      <c r="F114" s="46">
        <v>2.0</v>
      </c>
      <c r="G114" s="60"/>
      <c r="H114" s="33">
        <v>50.0</v>
      </c>
      <c r="I114" s="30" t="s">
        <v>19</v>
      </c>
    </row>
    <row r="115" ht="15.0" customHeight="1">
      <c r="A115" s="42">
        <v>46320.0</v>
      </c>
      <c r="B115" s="30" t="s">
        <v>148</v>
      </c>
      <c r="C115" s="30" t="s">
        <v>72</v>
      </c>
      <c r="D115" s="30" t="s">
        <v>268</v>
      </c>
      <c r="E115" s="30" t="s">
        <v>14</v>
      </c>
      <c r="F115" s="46">
        <v>1.0</v>
      </c>
      <c r="G115" s="60"/>
      <c r="H115" s="33">
        <v>135.6</v>
      </c>
      <c r="I115" s="30" t="s">
        <v>24</v>
      </c>
    </row>
    <row r="116" ht="15.0" customHeight="1">
      <c r="A116" s="42">
        <v>46320.0</v>
      </c>
      <c r="B116" s="30" t="s">
        <v>100</v>
      </c>
      <c r="C116" s="30" t="s">
        <v>72</v>
      </c>
      <c r="D116" s="30" t="s">
        <v>269</v>
      </c>
      <c r="E116" s="30" t="s">
        <v>97</v>
      </c>
      <c r="F116" s="46">
        <v>2.0</v>
      </c>
      <c r="G116" s="60"/>
      <c r="H116" s="33">
        <v>68.02</v>
      </c>
      <c r="I116" s="30" t="s">
        <v>24</v>
      </c>
    </row>
    <row r="117" ht="15.0" customHeight="1">
      <c r="A117" s="42">
        <v>46320.0</v>
      </c>
      <c r="B117" s="30" t="s">
        <v>114</v>
      </c>
      <c r="C117" s="30" t="s">
        <v>72</v>
      </c>
      <c r="D117" s="30" t="s">
        <v>270</v>
      </c>
      <c r="E117" s="30" t="s">
        <v>97</v>
      </c>
      <c r="F117" s="46">
        <v>3.0</v>
      </c>
      <c r="G117" s="60"/>
      <c r="H117" s="33">
        <v>197.06</v>
      </c>
      <c r="I117" s="30" t="s">
        <v>24</v>
      </c>
    </row>
    <row r="118" ht="15.0" customHeight="1">
      <c r="A118" s="42">
        <v>46320.0</v>
      </c>
      <c r="B118" s="30" t="s">
        <v>86</v>
      </c>
      <c r="C118" s="30" t="s">
        <v>72</v>
      </c>
      <c r="D118" s="30" t="s">
        <v>271</v>
      </c>
      <c r="E118" s="30" t="s">
        <v>14</v>
      </c>
      <c r="F118" s="46">
        <v>3.0</v>
      </c>
      <c r="G118" s="60"/>
      <c r="H118" s="33">
        <v>308.0</v>
      </c>
      <c r="I118" s="30" t="s">
        <v>24</v>
      </c>
    </row>
    <row r="119" ht="15.0" customHeight="1">
      <c r="A119" s="42">
        <v>46320.0</v>
      </c>
      <c r="B119" s="30" t="s">
        <v>122</v>
      </c>
      <c r="C119" s="30" t="s">
        <v>72</v>
      </c>
      <c r="D119" s="30" t="s">
        <v>272</v>
      </c>
      <c r="E119" s="45" t="s">
        <v>73</v>
      </c>
      <c r="F119" s="46">
        <v>3.0</v>
      </c>
      <c r="G119" s="60"/>
      <c r="H119" s="33">
        <v>319.78</v>
      </c>
      <c r="I119" s="30" t="s">
        <v>24</v>
      </c>
    </row>
    <row r="120" ht="15.0" customHeight="1">
      <c r="A120" s="42">
        <v>46320.0</v>
      </c>
      <c r="B120" s="30" t="s">
        <v>133</v>
      </c>
      <c r="C120" s="30" t="s">
        <v>68</v>
      </c>
      <c r="D120" s="30" t="s">
        <v>262</v>
      </c>
      <c r="E120" s="30" t="s">
        <v>14</v>
      </c>
      <c r="F120" s="46">
        <v>1.0</v>
      </c>
      <c r="G120" s="60"/>
      <c r="H120" s="55">
        <f>10000/459</f>
        <v>21.78649237</v>
      </c>
      <c r="I120" s="30" t="s">
        <v>19</v>
      </c>
    </row>
    <row r="121" ht="15.0" customHeight="1">
      <c r="A121" s="42">
        <v>46320.0</v>
      </c>
      <c r="B121" s="30" t="s">
        <v>114</v>
      </c>
      <c r="C121" s="30" t="s">
        <v>29</v>
      </c>
      <c r="D121" s="30" t="s">
        <v>270</v>
      </c>
      <c r="E121" s="30" t="s">
        <v>97</v>
      </c>
      <c r="F121" s="46">
        <v>3.0</v>
      </c>
      <c r="G121" s="60"/>
      <c r="H121" s="33">
        <v>30.0</v>
      </c>
      <c r="I121" s="30" t="s">
        <v>109</v>
      </c>
    </row>
    <row r="122" ht="15.0" customHeight="1">
      <c r="A122" s="42">
        <v>46320.0</v>
      </c>
      <c r="B122" s="30" t="s">
        <v>100</v>
      </c>
      <c r="C122" s="30" t="s">
        <v>29</v>
      </c>
      <c r="D122" s="30" t="s">
        <v>269</v>
      </c>
      <c r="E122" s="30" t="s">
        <v>97</v>
      </c>
      <c r="F122" s="46">
        <v>2.0</v>
      </c>
      <c r="G122" s="60"/>
      <c r="H122" s="33">
        <v>30.0</v>
      </c>
      <c r="I122" s="30" t="s">
        <v>24</v>
      </c>
    </row>
    <row r="123" ht="15.0" customHeight="1">
      <c r="A123" s="76"/>
      <c r="B123" s="77"/>
      <c r="C123" s="30"/>
      <c r="D123" s="77"/>
      <c r="E123" s="77"/>
      <c r="F123" s="60"/>
      <c r="G123" s="60"/>
      <c r="H123" s="55"/>
      <c r="I123" s="77"/>
    </row>
    <row r="124" ht="15.0" customHeight="1">
      <c r="A124" s="76"/>
      <c r="B124" s="77"/>
      <c r="C124" s="30"/>
      <c r="D124" s="77"/>
      <c r="E124" s="77"/>
      <c r="F124" s="60"/>
      <c r="G124" s="60"/>
      <c r="H124" s="55"/>
      <c r="I124" s="77"/>
    </row>
    <row r="125" ht="15.0" customHeight="1">
      <c r="A125" s="76"/>
      <c r="B125" s="77"/>
      <c r="C125" s="30"/>
      <c r="D125" s="77"/>
      <c r="E125" s="77"/>
      <c r="F125" s="60"/>
      <c r="G125" s="60"/>
      <c r="H125" s="55"/>
      <c r="I125" s="77"/>
    </row>
    <row r="126" ht="15.0" customHeight="1">
      <c r="A126" s="76"/>
      <c r="B126" s="77"/>
      <c r="C126" s="30"/>
      <c r="D126" s="77"/>
      <c r="E126" s="77"/>
      <c r="F126" s="60"/>
      <c r="G126" s="60"/>
      <c r="H126" s="55"/>
      <c r="I126" s="77"/>
    </row>
    <row r="127" ht="15.0" customHeight="1">
      <c r="A127" s="76"/>
      <c r="B127" s="77"/>
      <c r="C127" s="30"/>
      <c r="D127" s="77"/>
      <c r="E127" s="77"/>
      <c r="F127" s="60"/>
      <c r="G127" s="60"/>
      <c r="H127" s="55"/>
      <c r="I127" s="77"/>
    </row>
    <row r="128" ht="15.0" customHeight="1">
      <c r="A128" s="76"/>
      <c r="B128" s="77"/>
      <c r="C128" s="30"/>
      <c r="D128" s="77"/>
      <c r="E128" s="77"/>
      <c r="F128" s="60"/>
      <c r="G128" s="60"/>
      <c r="H128" s="55"/>
      <c r="I128" s="77"/>
    </row>
    <row r="129" ht="15.0" customHeight="1">
      <c r="A129" s="76"/>
      <c r="B129" s="77"/>
      <c r="C129" s="30"/>
      <c r="D129" s="77"/>
      <c r="E129" s="77"/>
      <c r="F129" s="60"/>
      <c r="G129" s="60"/>
      <c r="H129" s="55"/>
      <c r="I129" s="77"/>
    </row>
    <row r="130" ht="15.0" customHeight="1">
      <c r="A130" s="76"/>
      <c r="B130" s="77"/>
      <c r="C130" s="30"/>
      <c r="D130" s="77"/>
      <c r="E130" s="77"/>
      <c r="F130" s="60"/>
      <c r="G130" s="60"/>
      <c r="H130" s="55"/>
      <c r="I130" s="77"/>
    </row>
    <row r="131" ht="15.0" customHeight="1">
      <c r="A131" s="76"/>
      <c r="B131" s="77"/>
      <c r="C131" s="30"/>
      <c r="D131" s="77"/>
      <c r="E131" s="77"/>
      <c r="F131" s="60"/>
      <c r="G131" s="60"/>
      <c r="H131" s="55"/>
      <c r="I131" s="77"/>
    </row>
    <row r="132" ht="15.0" customHeight="1">
      <c r="A132" s="76"/>
      <c r="B132" s="77"/>
      <c r="C132" s="30"/>
      <c r="D132" s="77"/>
      <c r="E132" s="77"/>
      <c r="F132" s="60"/>
      <c r="G132" s="60"/>
      <c r="H132" s="55"/>
      <c r="I132" s="77"/>
    </row>
    <row r="133" ht="15.0" customHeight="1">
      <c r="A133" s="76"/>
      <c r="B133" s="77"/>
      <c r="C133" s="30"/>
      <c r="D133" s="77"/>
      <c r="E133" s="77"/>
      <c r="F133" s="60"/>
      <c r="G133" s="60"/>
      <c r="H133" s="55"/>
      <c r="I133" s="77"/>
    </row>
    <row r="134" ht="15.0" customHeight="1">
      <c r="A134" s="76"/>
      <c r="B134" s="77"/>
      <c r="C134" s="30"/>
      <c r="D134" s="77"/>
      <c r="E134" s="77"/>
      <c r="F134" s="60"/>
      <c r="G134" s="60"/>
      <c r="H134" s="55"/>
      <c r="I134" s="77"/>
    </row>
    <row r="135" ht="15.0" customHeight="1">
      <c r="A135" s="76"/>
      <c r="B135" s="77"/>
      <c r="C135" s="30"/>
      <c r="D135" s="77"/>
      <c r="E135" s="77"/>
      <c r="F135" s="60"/>
      <c r="G135" s="60"/>
      <c r="H135" s="55"/>
      <c r="I135" s="77"/>
    </row>
    <row r="136" ht="15.0" customHeight="1">
      <c r="A136" s="76"/>
      <c r="B136" s="77"/>
      <c r="C136" s="30"/>
      <c r="D136" s="77"/>
      <c r="E136" s="77"/>
      <c r="F136" s="60"/>
      <c r="G136" s="60"/>
      <c r="H136" s="55"/>
      <c r="I136" s="77"/>
    </row>
    <row r="137" ht="15.0" customHeight="1">
      <c r="A137" s="76"/>
      <c r="B137" s="77"/>
      <c r="C137" s="30"/>
      <c r="D137" s="77"/>
      <c r="E137" s="77"/>
      <c r="F137" s="60"/>
      <c r="G137" s="60"/>
      <c r="H137" s="55"/>
      <c r="I137" s="77"/>
    </row>
    <row r="138" ht="15.0" customHeight="1">
      <c r="A138" s="76"/>
      <c r="B138" s="77"/>
      <c r="C138" s="30"/>
      <c r="D138" s="77"/>
      <c r="E138" s="77"/>
      <c r="F138" s="60"/>
      <c r="G138" s="60"/>
      <c r="H138" s="55"/>
      <c r="I138" s="77"/>
    </row>
    <row r="139" ht="15.0" customHeight="1">
      <c r="A139" s="76"/>
      <c r="B139" s="77"/>
      <c r="C139" s="30"/>
      <c r="D139" s="77"/>
      <c r="E139" s="77"/>
      <c r="F139" s="60"/>
      <c r="G139" s="60"/>
      <c r="H139" s="55"/>
      <c r="I139" s="77"/>
    </row>
    <row r="140" ht="15.0" customHeight="1">
      <c r="A140" s="76"/>
      <c r="B140" s="77"/>
      <c r="C140" s="30"/>
      <c r="D140" s="77"/>
      <c r="E140" s="77"/>
      <c r="F140" s="60"/>
      <c r="G140" s="60"/>
      <c r="H140" s="55"/>
      <c r="I140" s="77"/>
    </row>
    <row r="141" ht="15.0" customHeight="1">
      <c r="A141" s="76"/>
      <c r="B141" s="77"/>
      <c r="C141" s="30"/>
      <c r="D141" s="77"/>
      <c r="E141" s="77"/>
      <c r="F141" s="60"/>
      <c r="G141" s="60"/>
      <c r="H141" s="55"/>
      <c r="I141" s="77"/>
    </row>
    <row r="142" ht="15.0" customHeight="1">
      <c r="A142" s="76"/>
      <c r="B142" s="77"/>
      <c r="C142" s="30"/>
      <c r="D142" s="77"/>
      <c r="E142" s="77"/>
      <c r="F142" s="60"/>
      <c r="G142" s="60"/>
      <c r="H142" s="55"/>
      <c r="I142" s="77"/>
    </row>
    <row r="143" ht="15.0" customHeight="1">
      <c r="A143" s="76"/>
      <c r="B143" s="77"/>
      <c r="C143" s="30"/>
      <c r="D143" s="77"/>
      <c r="E143" s="77"/>
      <c r="F143" s="60"/>
      <c r="G143" s="60"/>
      <c r="H143" s="55"/>
      <c r="I143" s="77"/>
    </row>
    <row r="144" ht="15.0" customHeight="1">
      <c r="A144" s="76"/>
      <c r="B144" s="77"/>
      <c r="C144" s="30"/>
      <c r="D144" s="77"/>
      <c r="E144" s="77"/>
      <c r="F144" s="60"/>
      <c r="G144" s="60"/>
      <c r="H144" s="55"/>
      <c r="I144" s="77"/>
    </row>
    <row r="145" ht="15.0" customHeight="1">
      <c r="A145" s="76"/>
      <c r="B145" s="77"/>
      <c r="C145" s="30"/>
      <c r="D145" s="77"/>
      <c r="E145" s="77"/>
      <c r="F145" s="60"/>
      <c r="G145" s="60"/>
      <c r="H145" s="55"/>
      <c r="I145" s="77"/>
    </row>
    <row r="146" ht="15.0" customHeight="1">
      <c r="A146" s="76"/>
      <c r="B146" s="77"/>
      <c r="C146" s="30"/>
      <c r="D146" s="77"/>
      <c r="E146" s="77"/>
      <c r="F146" s="60"/>
      <c r="G146" s="60"/>
      <c r="H146" s="55"/>
      <c r="I146" s="77"/>
    </row>
    <row r="147" ht="15.0" customHeight="1">
      <c r="A147" s="76"/>
      <c r="B147" s="77"/>
      <c r="C147" s="30"/>
      <c r="D147" s="77"/>
      <c r="E147" s="77"/>
      <c r="F147" s="60"/>
      <c r="G147" s="60"/>
      <c r="H147" s="55"/>
      <c r="I147" s="77"/>
    </row>
    <row r="148" ht="15.0" customHeight="1">
      <c r="A148" s="76"/>
      <c r="B148" s="77"/>
      <c r="C148" s="30"/>
      <c r="D148" s="77"/>
      <c r="E148" s="77"/>
      <c r="F148" s="60"/>
      <c r="G148" s="60"/>
      <c r="H148" s="55"/>
      <c r="I148" s="77"/>
    </row>
    <row r="149" ht="15.0" customHeight="1">
      <c r="A149" s="76"/>
      <c r="B149" s="77"/>
      <c r="C149" s="30"/>
      <c r="D149" s="77"/>
      <c r="E149" s="77"/>
      <c r="F149" s="60"/>
      <c r="G149" s="60"/>
      <c r="H149" s="55"/>
      <c r="I149" s="77"/>
    </row>
    <row r="150" ht="15.0" customHeight="1">
      <c r="A150" s="76"/>
      <c r="B150" s="77"/>
      <c r="C150" s="30"/>
      <c r="D150" s="77"/>
      <c r="E150" s="77"/>
      <c r="F150" s="60"/>
      <c r="G150" s="60"/>
      <c r="H150" s="55"/>
      <c r="I150" s="77"/>
    </row>
    <row r="151" ht="15.0" customHeight="1">
      <c r="A151" s="76"/>
      <c r="B151" s="77"/>
      <c r="C151" s="30"/>
      <c r="D151" s="77"/>
      <c r="E151" s="77"/>
      <c r="F151" s="60"/>
      <c r="G151" s="60"/>
      <c r="H151" s="55"/>
      <c r="I151" s="77"/>
    </row>
    <row r="152" ht="15.0" customHeight="1">
      <c r="A152" s="76"/>
      <c r="B152" s="77"/>
      <c r="C152" s="30"/>
      <c r="D152" s="77"/>
      <c r="E152" s="77"/>
      <c r="F152" s="60"/>
      <c r="G152" s="60"/>
      <c r="H152" s="55"/>
      <c r="I152" s="77"/>
    </row>
    <row r="153" ht="15.0" customHeight="1">
      <c r="A153" s="76"/>
      <c r="B153" s="77"/>
      <c r="C153" s="30"/>
      <c r="D153" s="77"/>
      <c r="E153" s="77"/>
      <c r="F153" s="60"/>
      <c r="G153" s="60"/>
      <c r="H153" s="55"/>
      <c r="I153" s="77"/>
    </row>
    <row r="154" ht="15.0" customHeight="1">
      <c r="A154" s="76"/>
      <c r="B154" s="77"/>
      <c r="C154" s="30"/>
      <c r="D154" s="77"/>
      <c r="E154" s="77"/>
      <c r="F154" s="60"/>
      <c r="G154" s="60"/>
      <c r="H154" s="55"/>
      <c r="I154" s="77"/>
    </row>
    <row r="155" ht="15.0" customHeight="1">
      <c r="A155" s="76"/>
      <c r="B155" s="77"/>
      <c r="C155" s="30"/>
      <c r="D155" s="77"/>
      <c r="E155" s="77"/>
      <c r="F155" s="60"/>
      <c r="G155" s="60"/>
      <c r="H155" s="55"/>
      <c r="I155" s="77"/>
    </row>
    <row r="156" ht="15.0" customHeight="1">
      <c r="A156" s="76"/>
      <c r="B156" s="77"/>
      <c r="C156" s="30"/>
      <c r="D156" s="77"/>
      <c r="E156" s="77"/>
      <c r="F156" s="60"/>
      <c r="G156" s="60"/>
      <c r="H156" s="55"/>
      <c r="I156" s="77"/>
    </row>
    <row r="157" ht="15.0" customHeight="1">
      <c r="A157" s="76"/>
      <c r="B157" s="77"/>
      <c r="C157" s="30"/>
      <c r="D157" s="77"/>
      <c r="E157" s="77"/>
      <c r="F157" s="60"/>
      <c r="G157" s="60"/>
      <c r="H157" s="55"/>
      <c r="I157" s="77"/>
    </row>
    <row r="158" ht="15.0" customHeight="1">
      <c r="A158" s="76"/>
      <c r="B158" s="77"/>
      <c r="C158" s="30"/>
      <c r="D158" s="77"/>
      <c r="E158" s="77"/>
      <c r="F158" s="60"/>
      <c r="G158" s="60"/>
      <c r="H158" s="55"/>
      <c r="I158" s="77"/>
    </row>
    <row r="159" ht="15.0" customHeight="1">
      <c r="A159" s="76"/>
      <c r="B159" s="77"/>
      <c r="C159" s="30"/>
      <c r="D159" s="77"/>
      <c r="E159" s="77"/>
      <c r="F159" s="60"/>
      <c r="G159" s="60"/>
      <c r="H159" s="55"/>
      <c r="I159" s="77"/>
    </row>
    <row r="160" ht="15.0" customHeight="1">
      <c r="A160" s="76"/>
      <c r="B160" s="77"/>
      <c r="C160" s="30"/>
      <c r="D160" s="77"/>
      <c r="E160" s="77"/>
      <c r="F160" s="60"/>
      <c r="G160" s="60"/>
      <c r="H160" s="55"/>
      <c r="I160" s="77"/>
    </row>
    <row r="161" ht="15.0" customHeight="1">
      <c r="A161" s="76"/>
      <c r="B161" s="77"/>
      <c r="C161" s="30"/>
      <c r="D161" s="77"/>
      <c r="E161" s="77"/>
      <c r="F161" s="60"/>
      <c r="G161" s="60"/>
      <c r="H161" s="55"/>
      <c r="I161" s="77"/>
    </row>
    <row r="162" ht="15.0" customHeight="1">
      <c r="A162" s="76"/>
      <c r="B162" s="77"/>
      <c r="C162" s="30"/>
      <c r="D162" s="77"/>
      <c r="E162" s="77"/>
      <c r="F162" s="60"/>
      <c r="G162" s="60"/>
      <c r="H162" s="55"/>
      <c r="I162" s="77"/>
    </row>
    <row r="163" ht="15.0" customHeight="1">
      <c r="A163" s="76"/>
      <c r="B163" s="77"/>
      <c r="C163" s="30"/>
      <c r="D163" s="77"/>
      <c r="E163" s="77"/>
      <c r="F163" s="60"/>
      <c r="G163" s="60"/>
      <c r="H163" s="55"/>
      <c r="I163" s="77"/>
    </row>
    <row r="164" ht="15.0" customHeight="1">
      <c r="A164" s="76"/>
      <c r="B164" s="77"/>
      <c r="C164" s="30"/>
      <c r="D164" s="77"/>
      <c r="E164" s="77"/>
      <c r="F164" s="60"/>
      <c r="G164" s="60"/>
      <c r="H164" s="55"/>
      <c r="I164" s="77"/>
    </row>
    <row r="165" ht="15.0" customHeight="1">
      <c r="A165" s="76"/>
      <c r="B165" s="77"/>
      <c r="C165" s="30"/>
      <c r="D165" s="77"/>
      <c r="E165" s="77"/>
      <c r="F165" s="60"/>
      <c r="G165" s="60"/>
      <c r="H165" s="55"/>
      <c r="I165" s="77"/>
    </row>
    <row r="166" ht="15.0" customHeight="1">
      <c r="A166" s="76"/>
      <c r="B166" s="77"/>
      <c r="C166" s="30"/>
      <c r="D166" s="77"/>
      <c r="E166" s="77"/>
      <c r="F166" s="60"/>
      <c r="G166" s="60"/>
      <c r="H166" s="55"/>
      <c r="I166" s="77"/>
    </row>
    <row r="167" ht="15.0" customHeight="1">
      <c r="A167" s="76"/>
      <c r="B167" s="77"/>
      <c r="C167" s="30"/>
      <c r="D167" s="77"/>
      <c r="E167" s="77"/>
      <c r="F167" s="60"/>
      <c r="G167" s="60"/>
      <c r="H167" s="55"/>
      <c r="I167" s="77"/>
    </row>
    <row r="168" ht="15.0" customHeight="1">
      <c r="A168" s="76"/>
      <c r="B168" s="77"/>
      <c r="C168" s="30"/>
      <c r="D168" s="77"/>
      <c r="E168" s="77"/>
      <c r="F168" s="60"/>
      <c r="G168" s="60"/>
      <c r="H168" s="55"/>
      <c r="I168" s="77"/>
    </row>
    <row r="169" ht="15.0" customHeight="1">
      <c r="A169" s="76"/>
      <c r="B169" s="77"/>
      <c r="C169" s="30"/>
      <c r="D169" s="77"/>
      <c r="E169" s="77"/>
      <c r="F169" s="60"/>
      <c r="G169" s="60"/>
      <c r="H169" s="55"/>
      <c r="I169" s="77"/>
    </row>
    <row r="170" ht="15.0" customHeight="1">
      <c r="A170" s="76"/>
      <c r="B170" s="77"/>
      <c r="C170" s="30"/>
      <c r="D170" s="77"/>
      <c r="E170" s="77"/>
      <c r="F170" s="60"/>
      <c r="G170" s="60"/>
      <c r="H170" s="55"/>
      <c r="I170" s="77"/>
    </row>
    <row r="171" ht="15.0" customHeight="1">
      <c r="A171" s="76"/>
      <c r="B171" s="77"/>
      <c r="C171" s="30"/>
      <c r="D171" s="77"/>
      <c r="E171" s="77"/>
      <c r="F171" s="60"/>
      <c r="G171" s="60"/>
      <c r="H171" s="55"/>
      <c r="I171" s="77"/>
    </row>
    <row r="172" ht="15.0" customHeight="1">
      <c r="A172" s="76"/>
      <c r="B172" s="77"/>
      <c r="C172" s="30"/>
      <c r="D172" s="77"/>
      <c r="E172" s="77"/>
      <c r="F172" s="60"/>
      <c r="G172" s="60"/>
      <c r="H172" s="55"/>
      <c r="I172" s="77"/>
    </row>
    <row r="173" ht="15.0" customHeight="1">
      <c r="A173" s="76"/>
      <c r="B173" s="77"/>
      <c r="C173" s="30"/>
      <c r="D173" s="77"/>
      <c r="E173" s="77"/>
      <c r="F173" s="60"/>
      <c r="G173" s="60"/>
      <c r="H173" s="55"/>
      <c r="I173" s="77"/>
    </row>
    <row r="174" ht="15.0" customHeight="1">
      <c r="A174" s="76"/>
      <c r="B174" s="77"/>
      <c r="C174" s="30"/>
      <c r="D174" s="77"/>
      <c r="E174" s="77"/>
      <c r="F174" s="60"/>
      <c r="G174" s="60"/>
      <c r="H174" s="55"/>
      <c r="I174" s="77"/>
    </row>
    <row r="175" ht="15.0" customHeight="1">
      <c r="A175" s="76"/>
      <c r="B175" s="77"/>
      <c r="C175" s="30"/>
      <c r="D175" s="77"/>
      <c r="E175" s="77"/>
      <c r="F175" s="60"/>
      <c r="G175" s="60"/>
      <c r="H175" s="55"/>
      <c r="I175" s="77"/>
    </row>
    <row r="176" ht="15.0" customHeight="1">
      <c r="A176" s="76"/>
      <c r="B176" s="77"/>
      <c r="C176" s="30"/>
      <c r="D176" s="77"/>
      <c r="E176" s="77"/>
      <c r="F176" s="60"/>
      <c r="G176" s="60"/>
      <c r="H176" s="55"/>
      <c r="I176" s="77"/>
    </row>
    <row r="177" ht="15.0" customHeight="1">
      <c r="A177" s="76"/>
      <c r="B177" s="77"/>
      <c r="C177" s="30"/>
      <c r="D177" s="77"/>
      <c r="E177" s="77"/>
      <c r="F177" s="60"/>
      <c r="G177" s="60"/>
      <c r="H177" s="55"/>
      <c r="I177" s="77"/>
    </row>
    <row r="178" ht="15.0" customHeight="1">
      <c r="A178" s="76"/>
      <c r="B178" s="77"/>
      <c r="C178" s="30"/>
      <c r="D178" s="77"/>
      <c r="E178" s="77"/>
      <c r="F178" s="60"/>
      <c r="G178" s="60"/>
      <c r="H178" s="55"/>
      <c r="I178" s="77"/>
    </row>
    <row r="179" ht="15.0" customHeight="1">
      <c r="A179" s="76"/>
      <c r="B179" s="77"/>
      <c r="C179" s="30"/>
      <c r="D179" s="77"/>
      <c r="E179" s="77"/>
      <c r="F179" s="60"/>
      <c r="G179" s="60"/>
      <c r="H179" s="55"/>
      <c r="I179" s="77"/>
    </row>
    <row r="180" ht="15.0" customHeight="1">
      <c r="A180" s="76"/>
      <c r="B180" s="77"/>
      <c r="C180" s="30"/>
      <c r="D180" s="77"/>
      <c r="E180" s="77"/>
      <c r="F180" s="60"/>
      <c r="G180" s="60"/>
      <c r="H180" s="55"/>
      <c r="I180" s="77"/>
    </row>
    <row r="181" ht="15.0" customHeight="1">
      <c r="A181" s="76"/>
      <c r="B181" s="77"/>
      <c r="C181" s="30"/>
      <c r="D181" s="77"/>
      <c r="E181" s="77"/>
      <c r="F181" s="60"/>
      <c r="G181" s="60"/>
      <c r="H181" s="55"/>
      <c r="I181" s="77"/>
    </row>
    <row r="182" ht="15.0" customHeight="1">
      <c r="A182" s="76"/>
      <c r="B182" s="77"/>
      <c r="C182" s="30"/>
      <c r="D182" s="77"/>
      <c r="E182" s="77"/>
      <c r="F182" s="60"/>
      <c r="G182" s="60"/>
      <c r="H182" s="55"/>
      <c r="I182" s="77"/>
    </row>
    <row r="183" ht="15.0" customHeight="1">
      <c r="A183" s="76"/>
      <c r="B183" s="77"/>
      <c r="C183" s="30"/>
      <c r="D183" s="77"/>
      <c r="E183" s="77"/>
      <c r="F183" s="60"/>
      <c r="G183" s="60"/>
      <c r="H183" s="55"/>
      <c r="I183" s="77"/>
    </row>
    <row r="184" ht="15.0" customHeight="1">
      <c r="A184" s="76"/>
      <c r="B184" s="77"/>
      <c r="C184" s="30"/>
      <c r="D184" s="77"/>
      <c r="E184" s="77"/>
      <c r="F184" s="60"/>
      <c r="G184" s="60"/>
      <c r="H184" s="55"/>
      <c r="I184" s="77"/>
    </row>
    <row r="185" ht="15.0" customHeight="1">
      <c r="A185" s="76"/>
      <c r="B185" s="77"/>
      <c r="C185" s="30"/>
      <c r="D185" s="77"/>
      <c r="E185" s="77"/>
      <c r="F185" s="60"/>
      <c r="G185" s="60"/>
      <c r="H185" s="55"/>
      <c r="I185" s="77"/>
    </row>
    <row r="186" ht="15.0" customHeight="1">
      <c r="A186" s="76"/>
      <c r="B186" s="77"/>
      <c r="C186" s="30"/>
      <c r="D186" s="77"/>
      <c r="E186" s="77"/>
      <c r="F186" s="60"/>
      <c r="G186" s="60"/>
      <c r="H186" s="55"/>
      <c r="I186" s="77"/>
    </row>
    <row r="187" ht="15.0" customHeight="1">
      <c r="A187" s="76"/>
      <c r="B187" s="77"/>
      <c r="C187" s="30"/>
      <c r="D187" s="77"/>
      <c r="E187" s="77"/>
      <c r="F187" s="60"/>
      <c r="G187" s="60"/>
      <c r="H187" s="55"/>
      <c r="I187" s="77"/>
    </row>
    <row r="188" ht="15.0" customHeight="1">
      <c r="A188" s="76"/>
      <c r="B188" s="77"/>
      <c r="C188" s="30"/>
      <c r="D188" s="77"/>
      <c r="E188" s="77"/>
      <c r="F188" s="60"/>
      <c r="G188" s="60"/>
      <c r="H188" s="55"/>
      <c r="I188" s="77"/>
    </row>
    <row r="189" ht="15.0" customHeight="1">
      <c r="A189" s="76"/>
      <c r="B189" s="77"/>
      <c r="C189" s="30"/>
      <c r="D189" s="77"/>
      <c r="E189" s="77"/>
      <c r="F189" s="60"/>
      <c r="G189" s="60"/>
      <c r="H189" s="55"/>
      <c r="I189" s="77"/>
    </row>
    <row r="190" ht="15.0" customHeight="1">
      <c r="A190" s="76"/>
      <c r="B190" s="77"/>
      <c r="C190" s="30"/>
      <c r="D190" s="77"/>
      <c r="E190" s="77"/>
      <c r="F190" s="60"/>
      <c r="G190" s="60"/>
      <c r="H190" s="55"/>
      <c r="I190" s="77"/>
    </row>
    <row r="191" ht="15.0" customHeight="1">
      <c r="A191" s="76"/>
      <c r="B191" s="77"/>
      <c r="C191" s="30"/>
      <c r="D191" s="77"/>
      <c r="E191" s="77"/>
      <c r="F191" s="60"/>
      <c r="G191" s="60"/>
      <c r="H191" s="55"/>
      <c r="I191" s="77"/>
    </row>
    <row r="192" ht="15.0" customHeight="1">
      <c r="A192" s="76"/>
      <c r="B192" s="77"/>
      <c r="C192" s="30"/>
      <c r="D192" s="77"/>
      <c r="E192" s="77"/>
      <c r="F192" s="60"/>
      <c r="G192" s="60"/>
      <c r="H192" s="55"/>
      <c r="I192" s="77"/>
    </row>
    <row r="193" ht="15.0" customHeight="1">
      <c r="A193" s="76"/>
      <c r="B193" s="77"/>
      <c r="C193" s="30"/>
      <c r="D193" s="77"/>
      <c r="E193" s="77"/>
      <c r="F193" s="60"/>
      <c r="G193" s="60"/>
      <c r="H193" s="55"/>
      <c r="I193" s="77"/>
    </row>
    <row r="194" ht="15.0" customHeight="1">
      <c r="A194" s="76"/>
      <c r="B194" s="77"/>
      <c r="C194" s="30"/>
      <c r="D194" s="77"/>
      <c r="E194" s="77"/>
      <c r="F194" s="60"/>
      <c r="G194" s="60"/>
      <c r="H194" s="55"/>
      <c r="I194" s="77"/>
    </row>
    <row r="195" ht="15.0" customHeight="1">
      <c r="A195" s="76"/>
      <c r="B195" s="77"/>
      <c r="C195" s="30"/>
      <c r="D195" s="77"/>
      <c r="E195" s="77"/>
      <c r="F195" s="60"/>
      <c r="G195" s="60"/>
      <c r="H195" s="55"/>
      <c r="I195" s="77"/>
    </row>
    <row r="196" ht="15.0" customHeight="1">
      <c r="A196" s="76"/>
      <c r="B196" s="77"/>
      <c r="C196" s="30"/>
      <c r="D196" s="77"/>
      <c r="E196" s="77"/>
      <c r="F196" s="60"/>
      <c r="G196" s="60"/>
      <c r="H196" s="55"/>
      <c r="I196" s="77"/>
    </row>
    <row r="197" ht="15.0" customHeight="1">
      <c r="A197" s="76"/>
      <c r="B197" s="77"/>
      <c r="C197" s="30"/>
      <c r="D197" s="77"/>
      <c r="E197" s="77"/>
      <c r="F197" s="60"/>
      <c r="G197" s="60"/>
      <c r="H197" s="55"/>
      <c r="I197" s="77"/>
    </row>
    <row r="198" ht="15.0" customHeight="1">
      <c r="A198" s="76"/>
      <c r="B198" s="77"/>
      <c r="C198" s="30"/>
      <c r="D198" s="77"/>
      <c r="E198" s="77"/>
      <c r="F198" s="60"/>
      <c r="G198" s="60"/>
      <c r="H198" s="55"/>
      <c r="I198" s="77"/>
    </row>
    <row r="199" ht="15.0" customHeight="1">
      <c r="A199" s="76"/>
      <c r="B199" s="77"/>
      <c r="C199" s="30"/>
      <c r="D199" s="77"/>
      <c r="E199" s="77"/>
      <c r="F199" s="60"/>
      <c r="G199" s="60"/>
      <c r="H199" s="55"/>
      <c r="I199" s="77"/>
    </row>
    <row r="200" ht="15.0" customHeight="1">
      <c r="A200" s="76"/>
      <c r="B200" s="77"/>
      <c r="C200" s="30"/>
      <c r="D200" s="77"/>
      <c r="E200" s="77"/>
      <c r="F200" s="60"/>
      <c r="G200" s="60"/>
      <c r="H200" s="55"/>
      <c r="I200" s="77"/>
    </row>
    <row r="201" ht="15.0" customHeight="1">
      <c r="A201" s="76"/>
      <c r="B201" s="77"/>
      <c r="C201" s="30"/>
      <c r="D201" s="77"/>
      <c r="E201" s="77"/>
      <c r="F201" s="60"/>
      <c r="G201" s="60"/>
      <c r="H201" s="55"/>
      <c r="I201" s="77"/>
    </row>
    <row r="202" ht="15.0" customHeight="1">
      <c r="A202" s="76"/>
      <c r="B202" s="77"/>
      <c r="C202" s="30"/>
      <c r="D202" s="77"/>
      <c r="E202" s="77"/>
      <c r="F202" s="60"/>
      <c r="G202" s="60"/>
      <c r="H202" s="55"/>
      <c r="I202" s="77"/>
    </row>
    <row r="203" ht="15.0" customHeight="1">
      <c r="A203" s="76"/>
      <c r="B203" s="77"/>
      <c r="C203" s="30"/>
      <c r="D203" s="77"/>
      <c r="E203" s="77"/>
      <c r="F203" s="60"/>
      <c r="G203" s="60"/>
      <c r="H203" s="55"/>
      <c r="I203" s="77"/>
    </row>
    <row r="204" ht="15.0" customHeight="1">
      <c r="A204" s="76"/>
      <c r="B204" s="77"/>
      <c r="C204" s="30"/>
      <c r="D204" s="77"/>
      <c r="E204" s="77"/>
      <c r="F204" s="60"/>
      <c r="G204" s="60"/>
      <c r="H204" s="55"/>
      <c r="I204" s="77"/>
    </row>
    <row r="205" ht="15.0" customHeight="1">
      <c r="A205" s="76"/>
      <c r="B205" s="77"/>
      <c r="C205" s="30"/>
      <c r="D205" s="77"/>
      <c r="E205" s="77"/>
      <c r="F205" s="60"/>
      <c r="G205" s="60"/>
      <c r="H205" s="55"/>
      <c r="I205" s="77"/>
    </row>
    <row r="206" ht="15.0" customHeight="1">
      <c r="A206" s="76"/>
      <c r="B206" s="77"/>
      <c r="C206" s="30"/>
      <c r="D206" s="77"/>
      <c r="E206" s="77"/>
      <c r="F206" s="60"/>
      <c r="G206" s="60"/>
      <c r="H206" s="55"/>
      <c r="I206" s="77"/>
    </row>
    <row r="207" ht="15.0" customHeight="1">
      <c r="A207" s="76"/>
      <c r="B207" s="77"/>
      <c r="C207" s="30"/>
      <c r="D207" s="77"/>
      <c r="E207" s="77"/>
      <c r="F207" s="60"/>
      <c r="G207" s="60"/>
      <c r="H207" s="55"/>
      <c r="I207" s="77"/>
    </row>
    <row r="208" ht="15.0" customHeight="1">
      <c r="A208" s="76"/>
      <c r="B208" s="77"/>
      <c r="C208" s="30"/>
      <c r="D208" s="77"/>
      <c r="E208" s="77"/>
      <c r="F208" s="60"/>
      <c r="G208" s="60"/>
      <c r="H208" s="55"/>
      <c r="I208" s="77"/>
    </row>
    <row r="209" ht="15.0" customHeight="1">
      <c r="A209" s="76"/>
      <c r="B209" s="77"/>
      <c r="C209" s="30"/>
      <c r="D209" s="77"/>
      <c r="E209" s="77"/>
      <c r="F209" s="60"/>
      <c r="G209" s="60"/>
      <c r="H209" s="55"/>
      <c r="I209" s="77"/>
    </row>
    <row r="210" ht="15.0" customHeight="1">
      <c r="A210" s="76"/>
      <c r="B210" s="77"/>
      <c r="C210" s="30"/>
      <c r="D210" s="77"/>
      <c r="E210" s="77"/>
      <c r="F210" s="60"/>
      <c r="G210" s="60"/>
      <c r="H210" s="55"/>
      <c r="I210" s="77"/>
    </row>
    <row r="211" ht="15.0" customHeight="1">
      <c r="A211" s="76"/>
      <c r="B211" s="77"/>
      <c r="C211" s="30"/>
      <c r="D211" s="77"/>
      <c r="E211" s="77"/>
      <c r="F211" s="60"/>
      <c r="G211" s="60"/>
      <c r="H211" s="55"/>
      <c r="I211" s="77"/>
    </row>
    <row r="212" ht="15.0" customHeight="1">
      <c r="A212" s="76"/>
      <c r="B212" s="77"/>
      <c r="C212" s="30"/>
      <c r="D212" s="77"/>
      <c r="E212" s="77"/>
      <c r="F212" s="60"/>
      <c r="G212" s="60"/>
      <c r="H212" s="55"/>
      <c r="I212" s="77"/>
    </row>
    <row r="213" ht="15.0" customHeight="1">
      <c r="A213" s="76"/>
      <c r="B213" s="77"/>
      <c r="C213" s="30"/>
      <c r="D213" s="77"/>
      <c r="E213" s="77"/>
      <c r="F213" s="60"/>
      <c r="G213" s="60"/>
      <c r="H213" s="55"/>
      <c r="I213" s="77"/>
    </row>
    <row r="214" ht="15.0" customHeight="1">
      <c r="A214" s="76"/>
      <c r="B214" s="77"/>
      <c r="C214" s="30"/>
      <c r="D214" s="77"/>
      <c r="E214" s="77"/>
      <c r="F214" s="60"/>
      <c r="G214" s="60"/>
      <c r="H214" s="55"/>
      <c r="I214" s="77"/>
    </row>
    <row r="215" ht="15.0" customHeight="1">
      <c r="A215" s="76"/>
      <c r="B215" s="77"/>
      <c r="C215" s="30"/>
      <c r="D215" s="77"/>
      <c r="E215" s="77"/>
      <c r="F215" s="60"/>
      <c r="G215" s="60"/>
      <c r="H215" s="55"/>
      <c r="I215" s="77"/>
    </row>
    <row r="216" ht="15.0" customHeight="1">
      <c r="A216" s="76"/>
      <c r="B216" s="77"/>
      <c r="C216" s="30"/>
      <c r="D216" s="77"/>
      <c r="E216" s="77"/>
      <c r="F216" s="60"/>
      <c r="G216" s="60"/>
      <c r="H216" s="55"/>
      <c r="I216" s="77"/>
    </row>
    <row r="217" ht="15.0" customHeight="1">
      <c r="A217" s="76"/>
      <c r="B217" s="77"/>
      <c r="C217" s="30"/>
      <c r="D217" s="77"/>
      <c r="E217" s="77"/>
      <c r="F217" s="60"/>
      <c r="G217" s="60"/>
      <c r="H217" s="55"/>
      <c r="I217" s="77"/>
    </row>
    <row r="218" ht="15.0" customHeight="1">
      <c r="A218" s="76"/>
      <c r="B218" s="77"/>
      <c r="C218" s="30"/>
      <c r="D218" s="77"/>
      <c r="E218" s="77"/>
      <c r="F218" s="60"/>
      <c r="G218" s="60"/>
      <c r="H218" s="55"/>
      <c r="I218" s="77"/>
    </row>
    <row r="219" ht="15.0" customHeight="1">
      <c r="A219" s="76"/>
      <c r="B219" s="77"/>
      <c r="C219" s="30"/>
      <c r="D219" s="77"/>
      <c r="E219" s="77"/>
      <c r="F219" s="60"/>
      <c r="G219" s="60"/>
      <c r="H219" s="55"/>
      <c r="I219" s="77"/>
    </row>
    <row r="220" ht="15.0" customHeight="1">
      <c r="A220" s="76"/>
      <c r="B220" s="77"/>
      <c r="C220" s="30"/>
      <c r="D220" s="77"/>
      <c r="E220" s="77"/>
      <c r="F220" s="60"/>
      <c r="G220" s="60"/>
      <c r="H220" s="55"/>
      <c r="I220" s="77"/>
    </row>
    <row r="221" ht="15.0" customHeight="1">
      <c r="A221" s="76"/>
      <c r="B221" s="77"/>
      <c r="C221" s="30"/>
      <c r="D221" s="77"/>
      <c r="E221" s="77"/>
      <c r="F221" s="60"/>
      <c r="G221" s="60"/>
      <c r="H221" s="55"/>
      <c r="I221" s="77"/>
    </row>
    <row r="222" ht="15.0" customHeight="1">
      <c r="A222" s="76"/>
      <c r="B222" s="77"/>
      <c r="C222" s="30"/>
      <c r="D222" s="77"/>
      <c r="E222" s="77"/>
      <c r="F222" s="60"/>
      <c r="G222" s="60"/>
      <c r="H222" s="55"/>
      <c r="I222" s="77"/>
    </row>
    <row r="223" ht="15.0" customHeight="1">
      <c r="A223" s="76"/>
      <c r="B223" s="77"/>
      <c r="C223" s="30"/>
      <c r="D223" s="77"/>
      <c r="E223" s="77"/>
      <c r="F223" s="60"/>
      <c r="G223" s="60"/>
      <c r="H223" s="55"/>
      <c r="I223" s="77"/>
    </row>
    <row r="224" ht="15.0" customHeight="1">
      <c r="A224" s="76"/>
      <c r="B224" s="77"/>
      <c r="C224" s="30"/>
      <c r="D224" s="77"/>
      <c r="E224" s="77"/>
      <c r="F224" s="60"/>
      <c r="G224" s="60"/>
      <c r="H224" s="55"/>
      <c r="I224" s="77"/>
    </row>
    <row r="225" ht="15.0" customHeight="1">
      <c r="A225" s="76"/>
      <c r="B225" s="77"/>
      <c r="C225" s="30"/>
      <c r="D225" s="77"/>
      <c r="E225" s="77"/>
      <c r="F225" s="60"/>
      <c r="G225" s="60"/>
      <c r="H225" s="55"/>
      <c r="I225" s="77"/>
    </row>
    <row r="226" ht="15.0" customHeight="1">
      <c r="A226" s="76"/>
      <c r="B226" s="77"/>
      <c r="C226" s="30"/>
      <c r="D226" s="77"/>
      <c r="E226" s="77"/>
      <c r="F226" s="60"/>
      <c r="G226" s="60"/>
      <c r="H226" s="55"/>
      <c r="I226" s="77"/>
    </row>
    <row r="227" ht="15.0" customHeight="1">
      <c r="A227" s="76"/>
      <c r="B227" s="77"/>
      <c r="C227" s="30"/>
      <c r="D227" s="77"/>
      <c r="E227" s="77"/>
      <c r="F227" s="60"/>
      <c r="G227" s="60"/>
      <c r="H227" s="55"/>
      <c r="I227" s="77"/>
    </row>
    <row r="228" ht="15.0" customHeight="1">
      <c r="A228" s="76"/>
      <c r="B228" s="77"/>
      <c r="C228" s="30"/>
      <c r="D228" s="77"/>
      <c r="E228" s="77"/>
      <c r="F228" s="60"/>
      <c r="G228" s="60"/>
      <c r="H228" s="55"/>
      <c r="I228" s="77"/>
    </row>
    <row r="229" ht="15.0" customHeight="1">
      <c r="A229" s="76"/>
      <c r="B229" s="77"/>
      <c r="C229" s="30"/>
      <c r="D229" s="77"/>
      <c r="E229" s="77"/>
      <c r="F229" s="60"/>
      <c r="G229" s="60"/>
      <c r="H229" s="55"/>
      <c r="I229" s="77"/>
    </row>
    <row r="230" ht="15.0" customHeight="1">
      <c r="A230" s="76"/>
      <c r="B230" s="77"/>
      <c r="C230" s="30"/>
      <c r="D230" s="77"/>
      <c r="E230" s="77"/>
      <c r="F230" s="60"/>
      <c r="G230" s="60"/>
      <c r="H230" s="55"/>
      <c r="I230" s="77"/>
    </row>
    <row r="231" ht="15.0" customHeight="1">
      <c r="A231" s="76"/>
      <c r="B231" s="77"/>
      <c r="C231" s="30"/>
      <c r="D231" s="77"/>
      <c r="E231" s="77"/>
      <c r="F231" s="60"/>
      <c r="G231" s="60"/>
      <c r="H231" s="55"/>
      <c r="I231" s="77"/>
    </row>
    <row r="232" ht="15.0" customHeight="1">
      <c r="A232" s="76"/>
      <c r="B232" s="77"/>
      <c r="C232" s="30"/>
      <c r="D232" s="77"/>
      <c r="E232" s="77"/>
      <c r="F232" s="60"/>
      <c r="G232" s="60"/>
      <c r="H232" s="55"/>
      <c r="I232" s="77"/>
    </row>
    <row r="233" ht="15.0" customHeight="1">
      <c r="A233" s="76"/>
      <c r="B233" s="77"/>
      <c r="C233" s="30"/>
      <c r="D233" s="77"/>
      <c r="E233" s="77"/>
      <c r="F233" s="60"/>
      <c r="G233" s="60"/>
      <c r="H233" s="55"/>
      <c r="I233" s="77"/>
    </row>
    <row r="234" ht="15.0" customHeight="1">
      <c r="A234" s="76"/>
      <c r="B234" s="77"/>
      <c r="C234" s="30"/>
      <c r="D234" s="77"/>
      <c r="E234" s="77"/>
      <c r="F234" s="60"/>
      <c r="G234" s="60"/>
      <c r="H234" s="55"/>
      <c r="I234" s="77"/>
    </row>
    <row r="235" ht="15.0" customHeight="1">
      <c r="A235" s="76"/>
      <c r="B235" s="77"/>
      <c r="C235" s="30"/>
      <c r="D235" s="77"/>
      <c r="E235" s="77"/>
      <c r="F235" s="60"/>
      <c r="G235" s="60"/>
      <c r="H235" s="55"/>
      <c r="I235" s="77"/>
    </row>
    <row r="236" ht="15.0" customHeight="1">
      <c r="A236" s="76"/>
      <c r="B236" s="77"/>
      <c r="C236" s="30"/>
      <c r="D236" s="77"/>
      <c r="E236" s="77"/>
      <c r="F236" s="60"/>
      <c r="G236" s="60"/>
      <c r="H236" s="55"/>
      <c r="I236" s="77"/>
    </row>
    <row r="237" ht="15.0" customHeight="1">
      <c r="A237" s="76"/>
      <c r="B237" s="77"/>
      <c r="C237" s="30"/>
      <c r="D237" s="77"/>
      <c r="E237" s="77"/>
      <c r="F237" s="60"/>
      <c r="G237" s="60"/>
      <c r="H237" s="55"/>
      <c r="I237" s="77"/>
    </row>
    <row r="238" ht="15.0" customHeight="1">
      <c r="A238" s="76"/>
      <c r="B238" s="77"/>
      <c r="C238" s="30"/>
      <c r="D238" s="77"/>
      <c r="E238" s="77"/>
      <c r="F238" s="60"/>
      <c r="G238" s="60"/>
      <c r="H238" s="55"/>
      <c r="I238" s="77"/>
    </row>
    <row r="239" ht="15.0" customHeight="1">
      <c r="A239" s="76"/>
      <c r="B239" s="77"/>
      <c r="C239" s="30"/>
      <c r="D239" s="77"/>
      <c r="E239" s="77"/>
      <c r="F239" s="60"/>
      <c r="G239" s="60"/>
      <c r="H239" s="55"/>
      <c r="I239" s="77"/>
    </row>
    <row r="240" ht="15.0" customHeight="1">
      <c r="A240" s="76"/>
      <c r="B240" s="77"/>
      <c r="C240" s="30"/>
      <c r="D240" s="77"/>
      <c r="E240" s="77"/>
      <c r="F240" s="60"/>
      <c r="G240" s="60"/>
      <c r="H240" s="55"/>
      <c r="I240" s="77"/>
    </row>
    <row r="241" ht="15.0" customHeight="1">
      <c r="A241" s="76"/>
      <c r="B241" s="77"/>
      <c r="C241" s="30"/>
      <c r="D241" s="77"/>
      <c r="E241" s="77"/>
      <c r="F241" s="60"/>
      <c r="G241" s="60"/>
      <c r="H241" s="55"/>
      <c r="I241" s="77"/>
    </row>
    <row r="242" ht="15.75" customHeight="1">
      <c r="A242" s="2"/>
      <c r="B242" s="2"/>
      <c r="C242" s="30"/>
      <c r="D242" s="2"/>
      <c r="E242" s="2"/>
      <c r="F242" s="2"/>
      <c r="G242" s="2"/>
      <c r="H242" s="2"/>
      <c r="I242" s="19"/>
    </row>
    <row r="243" ht="15.75" customHeight="1">
      <c r="A243" s="2"/>
      <c r="B243" s="2"/>
      <c r="C243" s="30"/>
      <c r="D243" s="2"/>
      <c r="E243" s="2"/>
      <c r="F243" s="2"/>
      <c r="G243" s="2"/>
      <c r="H243" s="2"/>
      <c r="I243" s="19"/>
    </row>
    <row r="244" ht="15.75" customHeight="1">
      <c r="A244" s="2"/>
      <c r="B244" s="2"/>
      <c r="C244" s="30"/>
      <c r="D244" s="2"/>
      <c r="E244" s="2"/>
      <c r="F244" s="2"/>
      <c r="G244" s="2"/>
      <c r="H244" s="2"/>
      <c r="I244" s="19"/>
    </row>
    <row r="245" ht="15.75" customHeight="1">
      <c r="A245" s="2"/>
      <c r="B245" s="2"/>
      <c r="C245" s="30"/>
      <c r="D245" s="2"/>
      <c r="E245" s="2"/>
      <c r="F245" s="2"/>
      <c r="G245" s="2"/>
      <c r="H245" s="2"/>
      <c r="I245" s="19"/>
    </row>
    <row r="246" ht="15.75" customHeight="1">
      <c r="A246" s="2"/>
      <c r="B246" s="2"/>
      <c r="C246" s="30"/>
      <c r="D246" s="2"/>
      <c r="E246" s="2"/>
      <c r="F246" s="2"/>
      <c r="G246" s="2"/>
      <c r="H246" s="2"/>
      <c r="I246" s="19"/>
    </row>
    <row r="247" ht="15.75" customHeight="1">
      <c r="A247" s="2"/>
      <c r="B247" s="2"/>
      <c r="C247" s="30"/>
      <c r="D247" s="2"/>
      <c r="E247" s="2"/>
      <c r="F247" s="2"/>
      <c r="G247" s="2"/>
      <c r="H247" s="2"/>
      <c r="I247" s="19"/>
    </row>
    <row r="248" ht="15.75" customHeight="1">
      <c r="A248" s="2"/>
      <c r="B248" s="2"/>
      <c r="C248" s="30"/>
      <c r="D248" s="2"/>
      <c r="E248" s="2"/>
      <c r="F248" s="2"/>
      <c r="G248" s="2"/>
      <c r="H248" s="2"/>
      <c r="I248" s="19"/>
    </row>
    <row r="249" ht="15.75" customHeight="1">
      <c r="A249" s="2"/>
      <c r="B249" s="2"/>
      <c r="C249" s="30"/>
      <c r="D249" s="2"/>
      <c r="E249" s="2"/>
      <c r="F249" s="2"/>
      <c r="G249" s="2"/>
      <c r="H249" s="2"/>
      <c r="I249" s="19"/>
    </row>
    <row r="250" ht="15.75" customHeight="1">
      <c r="A250" s="2"/>
      <c r="B250" s="2"/>
      <c r="C250" s="30"/>
      <c r="D250" s="2"/>
      <c r="E250" s="2"/>
      <c r="F250" s="2"/>
      <c r="G250" s="2"/>
      <c r="H250" s="2"/>
      <c r="I250" s="19"/>
    </row>
    <row r="251" ht="15.75" customHeight="1">
      <c r="A251" s="2"/>
      <c r="B251" s="2"/>
      <c r="C251" s="30"/>
      <c r="D251" s="2"/>
      <c r="E251" s="2"/>
      <c r="F251" s="2"/>
      <c r="G251" s="2"/>
      <c r="H251" s="2"/>
      <c r="I251" s="19"/>
    </row>
    <row r="252" ht="15.75" customHeight="1">
      <c r="A252" s="2"/>
      <c r="B252" s="2"/>
      <c r="C252" s="30"/>
      <c r="D252" s="2"/>
      <c r="E252" s="2"/>
      <c r="F252" s="2"/>
      <c r="G252" s="2"/>
      <c r="H252" s="2"/>
      <c r="I252" s="19"/>
    </row>
    <row r="253" ht="15.75" customHeight="1">
      <c r="A253" s="2"/>
      <c r="B253" s="2"/>
      <c r="C253" s="30"/>
      <c r="D253" s="2"/>
      <c r="E253" s="2"/>
      <c r="F253" s="2"/>
      <c r="G253" s="2"/>
      <c r="H253" s="2"/>
      <c r="I253" s="19"/>
    </row>
    <row r="254" ht="15.75" customHeight="1">
      <c r="A254" s="2"/>
      <c r="B254" s="2"/>
      <c r="C254" s="30"/>
      <c r="D254" s="2"/>
      <c r="E254" s="2"/>
      <c r="F254" s="2"/>
      <c r="G254" s="2"/>
      <c r="H254" s="2"/>
      <c r="I254" s="19"/>
    </row>
    <row r="255" ht="15.75" customHeight="1">
      <c r="A255" s="2"/>
      <c r="B255" s="2"/>
      <c r="C255" s="30"/>
      <c r="D255" s="2"/>
      <c r="E255" s="2"/>
      <c r="F255" s="2"/>
      <c r="G255" s="2"/>
      <c r="H255" s="2"/>
      <c r="I255" s="19"/>
    </row>
    <row r="256" ht="15.75" customHeight="1">
      <c r="A256" s="2"/>
      <c r="B256" s="2"/>
      <c r="C256" s="30"/>
      <c r="D256" s="2"/>
      <c r="E256" s="2"/>
      <c r="F256" s="2"/>
      <c r="G256" s="2"/>
      <c r="H256" s="2"/>
      <c r="I256" s="19"/>
    </row>
    <row r="257" ht="15.75" customHeight="1">
      <c r="A257" s="2"/>
      <c r="B257" s="2"/>
      <c r="C257" s="30"/>
      <c r="D257" s="2"/>
      <c r="E257" s="2"/>
      <c r="F257" s="2"/>
      <c r="G257" s="2"/>
      <c r="H257" s="2"/>
      <c r="I257" s="19"/>
    </row>
    <row r="258" ht="15.75" customHeight="1">
      <c r="A258" s="2"/>
      <c r="B258" s="2"/>
      <c r="C258" s="30"/>
      <c r="D258" s="2"/>
      <c r="E258" s="2"/>
      <c r="F258" s="2"/>
      <c r="G258" s="2"/>
      <c r="H258" s="2"/>
      <c r="I258" s="19"/>
    </row>
    <row r="259" ht="15.75" customHeight="1">
      <c r="A259" s="2"/>
      <c r="B259" s="2"/>
      <c r="C259" s="30"/>
      <c r="D259" s="2"/>
      <c r="E259" s="2"/>
      <c r="F259" s="2"/>
      <c r="G259" s="2"/>
      <c r="H259" s="2"/>
      <c r="I259" s="19"/>
    </row>
    <row r="260" ht="15.75" customHeight="1">
      <c r="A260" s="2"/>
      <c r="B260" s="2"/>
      <c r="C260" s="30"/>
      <c r="D260" s="2"/>
      <c r="E260" s="2"/>
      <c r="F260" s="2"/>
      <c r="G260" s="2"/>
      <c r="H260" s="2"/>
      <c r="I260" s="19"/>
    </row>
    <row r="261" ht="15.75" customHeight="1">
      <c r="A261" s="2"/>
      <c r="B261" s="2"/>
      <c r="C261" s="30"/>
      <c r="D261" s="2"/>
      <c r="E261" s="2"/>
      <c r="F261" s="2"/>
      <c r="G261" s="2"/>
      <c r="H261" s="2"/>
      <c r="I261" s="19"/>
    </row>
    <row r="262" ht="15.75" customHeight="1">
      <c r="A262" s="2"/>
      <c r="B262" s="2"/>
      <c r="C262" s="30"/>
      <c r="D262" s="2"/>
      <c r="E262" s="2"/>
      <c r="F262" s="2"/>
      <c r="G262" s="2"/>
      <c r="H262" s="2"/>
      <c r="I262" s="19"/>
    </row>
    <row r="263" ht="15.75" customHeight="1">
      <c r="A263" s="2"/>
      <c r="B263" s="2"/>
      <c r="C263" s="30"/>
      <c r="D263" s="2"/>
      <c r="E263" s="2"/>
      <c r="F263" s="2"/>
      <c r="G263" s="2"/>
      <c r="H263" s="2"/>
      <c r="I263" s="19"/>
    </row>
    <row r="264" ht="15.75" customHeight="1">
      <c r="A264" s="2"/>
      <c r="B264" s="2"/>
      <c r="C264" s="30"/>
      <c r="D264" s="2"/>
      <c r="E264" s="2"/>
      <c r="F264" s="2"/>
      <c r="G264" s="2"/>
      <c r="H264" s="2"/>
      <c r="I264" s="19"/>
    </row>
    <row r="265" ht="15.75" customHeight="1">
      <c r="A265" s="2"/>
      <c r="B265" s="2"/>
      <c r="C265" s="30"/>
      <c r="D265" s="2"/>
      <c r="E265" s="2"/>
      <c r="F265" s="2"/>
      <c r="G265" s="2"/>
      <c r="H265" s="2"/>
      <c r="I265" s="19"/>
    </row>
    <row r="266" ht="15.75" customHeight="1">
      <c r="A266" s="2"/>
      <c r="B266" s="2"/>
      <c r="C266" s="30"/>
      <c r="D266" s="2"/>
      <c r="E266" s="2"/>
      <c r="F266" s="2"/>
      <c r="G266" s="2"/>
      <c r="H266" s="2"/>
      <c r="I266" s="19"/>
    </row>
    <row r="267" ht="15.75" customHeight="1">
      <c r="A267" s="2"/>
      <c r="B267" s="2"/>
      <c r="C267" s="30"/>
      <c r="D267" s="2"/>
      <c r="E267" s="2"/>
      <c r="F267" s="2"/>
      <c r="G267" s="2"/>
      <c r="H267" s="2"/>
      <c r="I267" s="19"/>
    </row>
    <row r="268" ht="15.75" customHeight="1">
      <c r="A268" s="2"/>
      <c r="B268" s="2"/>
      <c r="C268" s="30"/>
      <c r="D268" s="2"/>
      <c r="E268" s="2"/>
      <c r="F268" s="2"/>
      <c r="G268" s="2"/>
      <c r="H268" s="2"/>
      <c r="I268" s="19"/>
    </row>
    <row r="269" ht="15.75" customHeight="1">
      <c r="A269" s="2"/>
      <c r="B269" s="2"/>
      <c r="C269" s="30"/>
      <c r="D269" s="2"/>
      <c r="E269" s="2"/>
      <c r="F269" s="2"/>
      <c r="G269" s="2"/>
      <c r="H269" s="2"/>
      <c r="I269" s="19"/>
    </row>
    <row r="270" ht="15.75" customHeight="1">
      <c r="A270" s="2"/>
      <c r="B270" s="2"/>
      <c r="C270" s="30"/>
      <c r="D270" s="2"/>
      <c r="E270" s="2"/>
      <c r="F270" s="2"/>
      <c r="G270" s="2"/>
      <c r="H270" s="2"/>
      <c r="I270" s="19"/>
    </row>
    <row r="271" ht="15.75" customHeight="1">
      <c r="A271" s="2"/>
      <c r="B271" s="2"/>
      <c r="C271" s="30"/>
      <c r="D271" s="2"/>
      <c r="E271" s="2"/>
      <c r="F271" s="2"/>
      <c r="G271" s="2"/>
      <c r="H271" s="2"/>
      <c r="I271" s="19"/>
    </row>
    <row r="272" ht="15.75" customHeight="1">
      <c r="A272" s="2"/>
      <c r="B272" s="2"/>
      <c r="C272" s="30"/>
      <c r="D272" s="2"/>
      <c r="E272" s="2"/>
      <c r="F272" s="2"/>
      <c r="G272" s="2"/>
      <c r="H272" s="2"/>
      <c r="I272" s="19"/>
    </row>
    <row r="273" ht="15.75" customHeight="1">
      <c r="A273" s="2"/>
      <c r="B273" s="2"/>
      <c r="C273" s="30"/>
      <c r="D273" s="2"/>
      <c r="E273" s="2"/>
      <c r="F273" s="2"/>
      <c r="G273" s="2"/>
      <c r="H273" s="2"/>
      <c r="I273" s="19"/>
    </row>
    <row r="274" ht="15.75" customHeight="1">
      <c r="A274" s="2"/>
      <c r="B274" s="2"/>
      <c r="C274" s="30"/>
      <c r="D274" s="2"/>
      <c r="E274" s="2"/>
      <c r="F274" s="2"/>
      <c r="G274" s="2"/>
      <c r="H274" s="2"/>
      <c r="I274" s="19"/>
    </row>
    <row r="275" ht="15.75" customHeight="1">
      <c r="A275" s="2"/>
      <c r="B275" s="2"/>
      <c r="C275" s="30"/>
      <c r="D275" s="2"/>
      <c r="E275" s="2"/>
      <c r="F275" s="2"/>
      <c r="G275" s="2"/>
      <c r="H275" s="2"/>
      <c r="I275" s="19"/>
    </row>
    <row r="276" ht="15.75" customHeight="1">
      <c r="A276" s="2"/>
      <c r="B276" s="2"/>
      <c r="C276" s="30"/>
      <c r="D276" s="2"/>
      <c r="E276" s="2"/>
      <c r="F276" s="2"/>
      <c r="G276" s="2"/>
      <c r="H276" s="2"/>
      <c r="I276" s="19"/>
    </row>
    <row r="277" ht="15.75" customHeight="1">
      <c r="A277" s="2"/>
      <c r="B277" s="2"/>
      <c r="C277" s="30"/>
      <c r="D277" s="2"/>
      <c r="E277" s="2"/>
      <c r="F277" s="2"/>
      <c r="G277" s="2"/>
      <c r="H277" s="2"/>
      <c r="I277" s="19"/>
    </row>
    <row r="278" ht="15.75" customHeight="1">
      <c r="A278" s="2"/>
      <c r="B278" s="2"/>
      <c r="C278" s="30"/>
      <c r="D278" s="2"/>
      <c r="E278" s="2"/>
      <c r="F278" s="2"/>
      <c r="G278" s="2"/>
      <c r="H278" s="2"/>
      <c r="I278" s="19"/>
    </row>
    <row r="279" ht="15.75" customHeight="1">
      <c r="A279" s="2"/>
      <c r="B279" s="2"/>
      <c r="C279" s="30"/>
      <c r="D279" s="2"/>
      <c r="E279" s="2"/>
      <c r="F279" s="2"/>
      <c r="G279" s="2"/>
      <c r="H279" s="2"/>
      <c r="I279" s="19"/>
    </row>
    <row r="280" ht="15.75" customHeight="1">
      <c r="A280" s="2"/>
      <c r="B280" s="2"/>
      <c r="C280" s="30"/>
      <c r="D280" s="2"/>
      <c r="E280" s="2"/>
      <c r="F280" s="2"/>
      <c r="G280" s="2"/>
      <c r="H280" s="2"/>
      <c r="I280" s="19"/>
    </row>
    <row r="281" ht="15.75" customHeight="1">
      <c r="A281" s="2"/>
      <c r="B281" s="2"/>
      <c r="C281" s="30"/>
      <c r="D281" s="2"/>
      <c r="E281" s="2"/>
      <c r="F281" s="2"/>
      <c r="G281" s="2"/>
      <c r="H281" s="2"/>
      <c r="I281" s="19"/>
    </row>
    <row r="282" ht="15.75" customHeight="1">
      <c r="A282" s="2"/>
      <c r="B282" s="2"/>
      <c r="C282" s="30"/>
      <c r="D282" s="2"/>
      <c r="E282" s="2"/>
      <c r="F282" s="2"/>
      <c r="G282" s="2"/>
      <c r="H282" s="2"/>
      <c r="I282" s="19"/>
    </row>
    <row r="283" ht="15.75" customHeight="1">
      <c r="A283" s="2"/>
      <c r="B283" s="2"/>
      <c r="C283" s="30"/>
      <c r="D283" s="2"/>
      <c r="E283" s="2"/>
      <c r="F283" s="2"/>
      <c r="G283" s="2"/>
      <c r="H283" s="2"/>
      <c r="I283" s="19"/>
    </row>
    <row r="284" ht="15.75" customHeight="1">
      <c r="A284" s="2"/>
      <c r="B284" s="2"/>
      <c r="C284" s="30"/>
      <c r="D284" s="2"/>
      <c r="E284" s="2"/>
      <c r="F284" s="2"/>
      <c r="G284" s="2"/>
      <c r="H284" s="2"/>
      <c r="I284" s="19"/>
    </row>
    <row r="285" ht="15.75" customHeight="1">
      <c r="A285" s="2"/>
      <c r="B285" s="2"/>
      <c r="C285" s="30"/>
      <c r="D285" s="2"/>
      <c r="E285" s="2"/>
      <c r="F285" s="2"/>
      <c r="G285" s="2"/>
      <c r="H285" s="2"/>
      <c r="I285" s="19"/>
    </row>
    <row r="286" ht="15.75" customHeight="1">
      <c r="A286" s="2"/>
      <c r="B286" s="2"/>
      <c r="C286" s="30"/>
      <c r="D286" s="2"/>
      <c r="E286" s="2"/>
      <c r="F286" s="2"/>
      <c r="G286" s="2"/>
      <c r="H286" s="2"/>
      <c r="I286" s="19"/>
    </row>
    <row r="287" ht="15.75" customHeight="1">
      <c r="A287" s="2"/>
      <c r="B287" s="2"/>
      <c r="C287" s="30"/>
      <c r="D287" s="2"/>
      <c r="E287" s="2"/>
      <c r="F287" s="2"/>
      <c r="G287" s="2"/>
      <c r="H287" s="2"/>
      <c r="I287" s="19"/>
    </row>
    <row r="288" ht="15.75" customHeight="1">
      <c r="A288" s="2"/>
      <c r="B288" s="2"/>
      <c r="C288" s="30"/>
      <c r="D288" s="2"/>
      <c r="E288" s="2"/>
      <c r="F288" s="2"/>
      <c r="G288" s="2"/>
      <c r="H288" s="2"/>
      <c r="I288" s="19"/>
    </row>
    <row r="289" ht="15.75" customHeight="1">
      <c r="A289" s="2"/>
      <c r="B289" s="2"/>
      <c r="C289" s="30"/>
      <c r="D289" s="2"/>
      <c r="E289" s="2"/>
      <c r="F289" s="2"/>
      <c r="G289" s="2"/>
      <c r="H289" s="2"/>
      <c r="I289" s="19"/>
    </row>
    <row r="290" ht="15.75" customHeight="1">
      <c r="A290" s="2"/>
      <c r="B290" s="2"/>
      <c r="C290" s="30"/>
      <c r="D290" s="2"/>
      <c r="E290" s="2"/>
      <c r="F290" s="2"/>
      <c r="G290" s="2"/>
      <c r="H290" s="2"/>
      <c r="I290" s="19"/>
    </row>
    <row r="291" ht="15.75" customHeight="1">
      <c r="A291" s="2"/>
      <c r="B291" s="2"/>
      <c r="C291" s="30"/>
      <c r="D291" s="2"/>
      <c r="E291" s="2"/>
      <c r="F291" s="2"/>
      <c r="G291" s="2"/>
      <c r="H291" s="2"/>
      <c r="I291" s="19"/>
    </row>
    <row r="292" ht="15.75" customHeight="1">
      <c r="A292" s="2"/>
      <c r="B292" s="2"/>
      <c r="C292" s="30"/>
      <c r="D292" s="2"/>
      <c r="E292" s="2"/>
      <c r="F292" s="2"/>
      <c r="G292" s="2"/>
      <c r="H292" s="2"/>
      <c r="I292" s="19"/>
    </row>
    <row r="293" ht="15.75" customHeight="1">
      <c r="A293" s="2"/>
      <c r="B293" s="2"/>
      <c r="C293" s="30"/>
      <c r="D293" s="2"/>
      <c r="E293" s="2"/>
      <c r="F293" s="2"/>
      <c r="G293" s="2"/>
      <c r="H293" s="2"/>
      <c r="I293" s="19"/>
    </row>
    <row r="294" ht="15.75" customHeight="1">
      <c r="A294" s="2"/>
      <c r="B294" s="2"/>
      <c r="C294" s="30"/>
      <c r="D294" s="2"/>
      <c r="E294" s="2"/>
      <c r="F294" s="2"/>
      <c r="G294" s="2"/>
      <c r="H294" s="2"/>
      <c r="I294" s="19"/>
    </row>
    <row r="295" ht="15.75" customHeight="1">
      <c r="A295" s="2"/>
      <c r="B295" s="2"/>
      <c r="C295" s="30"/>
      <c r="D295" s="2"/>
      <c r="E295" s="2"/>
      <c r="F295" s="2"/>
      <c r="G295" s="2"/>
      <c r="H295" s="2"/>
      <c r="I295" s="19"/>
    </row>
    <row r="296" ht="15.75" customHeight="1">
      <c r="A296" s="2"/>
      <c r="B296" s="2"/>
      <c r="C296" s="30"/>
      <c r="D296" s="2"/>
      <c r="E296" s="2"/>
      <c r="F296" s="2"/>
      <c r="G296" s="2"/>
      <c r="H296" s="2"/>
      <c r="I296" s="19"/>
    </row>
    <row r="297" ht="15.75" customHeight="1">
      <c r="A297" s="2"/>
      <c r="B297" s="2"/>
      <c r="C297" s="30"/>
      <c r="D297" s="2"/>
      <c r="E297" s="2"/>
      <c r="F297" s="2"/>
      <c r="G297" s="2"/>
      <c r="H297" s="2"/>
      <c r="I297" s="19"/>
    </row>
    <row r="298" ht="15.75" customHeight="1">
      <c r="A298" s="2"/>
      <c r="B298" s="2"/>
      <c r="C298" s="30"/>
      <c r="D298" s="2"/>
      <c r="E298" s="2"/>
      <c r="F298" s="2"/>
      <c r="G298" s="2"/>
      <c r="H298" s="2"/>
      <c r="I298" s="19"/>
    </row>
    <row r="299" ht="15.75" customHeight="1">
      <c r="A299" s="2"/>
      <c r="B299" s="2"/>
      <c r="C299" s="30"/>
      <c r="D299" s="2"/>
      <c r="E299" s="2"/>
      <c r="F299" s="2"/>
      <c r="G299" s="2"/>
      <c r="H299" s="2"/>
      <c r="I299" s="19"/>
    </row>
    <row r="300" ht="15.75" customHeight="1">
      <c r="A300" s="2"/>
      <c r="B300" s="2"/>
      <c r="C300" s="30"/>
      <c r="D300" s="2"/>
      <c r="E300" s="2"/>
      <c r="F300" s="2"/>
      <c r="G300" s="2"/>
      <c r="H300" s="2"/>
      <c r="I300" s="19"/>
    </row>
    <row r="301" ht="15.75" customHeight="1">
      <c r="A301" s="2"/>
      <c r="B301" s="2"/>
      <c r="C301" s="30"/>
      <c r="D301" s="2"/>
      <c r="E301" s="2"/>
      <c r="F301" s="2"/>
      <c r="G301" s="2"/>
      <c r="H301" s="2"/>
      <c r="I301" s="19"/>
    </row>
    <row r="302" ht="15.75" customHeight="1">
      <c r="A302" s="2"/>
      <c r="B302" s="2"/>
      <c r="C302" s="30"/>
      <c r="D302" s="2"/>
      <c r="E302" s="2"/>
      <c r="F302" s="2"/>
      <c r="G302" s="2"/>
      <c r="H302" s="2"/>
      <c r="I302" s="19"/>
    </row>
    <row r="303" ht="15.75" customHeight="1">
      <c r="A303" s="2"/>
      <c r="B303" s="2"/>
      <c r="C303" s="30"/>
      <c r="D303" s="2"/>
      <c r="E303" s="2"/>
      <c r="F303" s="2"/>
      <c r="G303" s="2"/>
      <c r="H303" s="2"/>
      <c r="I303" s="19"/>
    </row>
    <row r="304" ht="15.75" customHeight="1">
      <c r="A304" s="2"/>
      <c r="B304" s="2"/>
      <c r="C304" s="30"/>
      <c r="D304" s="2"/>
      <c r="E304" s="2"/>
      <c r="F304" s="2"/>
      <c r="G304" s="2"/>
      <c r="H304" s="2"/>
      <c r="I304" s="19"/>
    </row>
    <row r="305" ht="15.75" customHeight="1">
      <c r="A305" s="2"/>
      <c r="B305" s="2"/>
      <c r="C305" s="30"/>
      <c r="D305" s="2"/>
      <c r="E305" s="2"/>
      <c r="F305" s="2"/>
      <c r="G305" s="2"/>
      <c r="H305" s="2"/>
      <c r="I305" s="19"/>
    </row>
    <row r="306" ht="15.75" customHeight="1">
      <c r="A306" s="2"/>
      <c r="B306" s="2"/>
      <c r="C306" s="30"/>
      <c r="D306" s="2"/>
      <c r="E306" s="2"/>
      <c r="F306" s="2"/>
      <c r="G306" s="2"/>
      <c r="H306" s="2"/>
      <c r="I306" s="19"/>
    </row>
    <row r="307" ht="15.75" customHeight="1">
      <c r="A307" s="2"/>
      <c r="B307" s="2"/>
      <c r="C307" s="30"/>
      <c r="D307" s="2"/>
      <c r="E307" s="2"/>
      <c r="F307" s="2"/>
      <c r="G307" s="2"/>
      <c r="H307" s="2"/>
      <c r="I307" s="19"/>
    </row>
    <row r="308" ht="15.75" customHeight="1">
      <c r="A308" s="2"/>
      <c r="B308" s="2"/>
      <c r="C308" s="30"/>
      <c r="D308" s="2"/>
      <c r="E308" s="2"/>
      <c r="F308" s="2"/>
      <c r="G308" s="2"/>
      <c r="H308" s="2"/>
      <c r="I308" s="19"/>
    </row>
    <row r="309" ht="15.75" customHeight="1">
      <c r="A309" s="2"/>
      <c r="B309" s="2"/>
      <c r="C309" s="30"/>
      <c r="D309" s="2"/>
      <c r="E309" s="2"/>
      <c r="F309" s="2"/>
      <c r="G309" s="2"/>
      <c r="H309" s="2"/>
      <c r="I309" s="19"/>
    </row>
    <row r="310" ht="15.75" customHeight="1">
      <c r="A310" s="2"/>
      <c r="B310" s="2"/>
      <c r="C310" s="30"/>
      <c r="D310" s="2"/>
      <c r="E310" s="2"/>
      <c r="F310" s="2"/>
      <c r="G310" s="2"/>
      <c r="H310" s="2"/>
      <c r="I310" s="19"/>
    </row>
    <row r="311" ht="15.75" customHeight="1">
      <c r="A311" s="2"/>
      <c r="B311" s="2"/>
      <c r="C311" s="30"/>
      <c r="D311" s="2"/>
      <c r="E311" s="2"/>
      <c r="F311" s="2"/>
      <c r="G311" s="2"/>
      <c r="H311" s="2"/>
      <c r="I311" s="19"/>
    </row>
    <row r="312" ht="15.75" customHeight="1">
      <c r="A312" s="2"/>
      <c r="B312" s="2"/>
      <c r="C312" s="30"/>
      <c r="D312" s="2"/>
      <c r="E312" s="2"/>
      <c r="F312" s="2"/>
      <c r="G312" s="2"/>
      <c r="H312" s="2"/>
      <c r="I312" s="19"/>
    </row>
    <row r="313" ht="15.75" customHeight="1">
      <c r="A313" s="2"/>
      <c r="B313" s="2"/>
      <c r="C313" s="30"/>
      <c r="D313" s="2"/>
      <c r="E313" s="2"/>
      <c r="F313" s="2"/>
      <c r="G313" s="2"/>
      <c r="H313" s="2"/>
      <c r="I313" s="19"/>
    </row>
    <row r="314" ht="15.75" customHeight="1">
      <c r="A314" s="2"/>
      <c r="B314" s="2"/>
      <c r="C314" s="30"/>
      <c r="D314" s="2"/>
      <c r="E314" s="2"/>
      <c r="F314" s="2"/>
      <c r="G314" s="2"/>
      <c r="H314" s="2"/>
      <c r="I314" s="19"/>
    </row>
    <row r="315" ht="15.75" customHeight="1">
      <c r="A315" s="2"/>
      <c r="B315" s="2"/>
      <c r="C315" s="30"/>
      <c r="D315" s="2"/>
      <c r="E315" s="2"/>
      <c r="F315" s="2"/>
      <c r="G315" s="2"/>
      <c r="H315" s="2"/>
      <c r="I315" s="19"/>
    </row>
    <row r="316" ht="15.75" customHeight="1">
      <c r="A316" s="2"/>
      <c r="B316" s="2"/>
      <c r="C316" s="30"/>
      <c r="D316" s="2"/>
      <c r="E316" s="2"/>
      <c r="F316" s="2"/>
      <c r="G316" s="2"/>
      <c r="H316" s="2"/>
      <c r="I316" s="19"/>
    </row>
    <row r="317" ht="15.75" customHeight="1">
      <c r="A317" s="2"/>
      <c r="B317" s="2"/>
      <c r="C317" s="30"/>
      <c r="D317" s="2"/>
      <c r="E317" s="2"/>
      <c r="F317" s="2"/>
      <c r="G317" s="2"/>
      <c r="H317" s="2"/>
      <c r="I317" s="19"/>
    </row>
    <row r="318" ht="15.75" customHeight="1">
      <c r="A318" s="2"/>
      <c r="B318" s="2"/>
      <c r="C318" s="30"/>
      <c r="D318" s="2"/>
      <c r="E318" s="2"/>
      <c r="F318" s="2"/>
      <c r="G318" s="2"/>
      <c r="H318" s="2"/>
      <c r="I318" s="19"/>
    </row>
    <row r="319" ht="15.75" customHeight="1">
      <c r="A319" s="2"/>
      <c r="B319" s="2"/>
      <c r="C319" s="30"/>
      <c r="D319" s="2"/>
      <c r="E319" s="2"/>
      <c r="F319" s="2"/>
      <c r="G319" s="2"/>
      <c r="H319" s="2"/>
      <c r="I319" s="19"/>
    </row>
    <row r="320" ht="15.75" customHeight="1">
      <c r="A320" s="2"/>
      <c r="B320" s="2"/>
      <c r="C320" s="30"/>
      <c r="D320" s="2"/>
      <c r="E320" s="2"/>
      <c r="F320" s="2"/>
      <c r="G320" s="2"/>
      <c r="H320" s="2"/>
      <c r="I320" s="19"/>
    </row>
    <row r="321" ht="15.75" customHeight="1">
      <c r="A321" s="2"/>
      <c r="B321" s="2"/>
      <c r="C321" s="30"/>
      <c r="D321" s="2"/>
      <c r="E321" s="2"/>
      <c r="F321" s="2"/>
      <c r="G321" s="2"/>
      <c r="H321" s="2"/>
      <c r="I321" s="19"/>
    </row>
    <row r="322" ht="15.75" customHeight="1">
      <c r="A322" s="2"/>
      <c r="B322" s="2"/>
      <c r="C322" s="30"/>
      <c r="D322" s="2"/>
      <c r="E322" s="2"/>
      <c r="F322" s="2"/>
      <c r="G322" s="2"/>
      <c r="H322" s="2"/>
      <c r="I322" s="19"/>
    </row>
    <row r="323" ht="15.75" customHeight="1">
      <c r="A323" s="2"/>
      <c r="B323" s="2"/>
      <c r="C323" s="30"/>
      <c r="D323" s="2"/>
      <c r="E323" s="2"/>
      <c r="F323" s="2"/>
      <c r="G323" s="2"/>
      <c r="H323" s="2"/>
      <c r="I323" s="19"/>
    </row>
    <row r="324" ht="15.75" customHeight="1">
      <c r="A324" s="2"/>
      <c r="B324" s="2"/>
      <c r="C324" s="30"/>
      <c r="D324" s="2"/>
      <c r="E324" s="2"/>
      <c r="F324" s="2"/>
      <c r="G324" s="2"/>
      <c r="H324" s="2"/>
      <c r="I324" s="19"/>
    </row>
    <row r="325" ht="15.75" customHeight="1">
      <c r="A325" s="2"/>
      <c r="B325" s="2"/>
      <c r="C325" s="30"/>
      <c r="D325" s="2"/>
      <c r="E325" s="2"/>
      <c r="F325" s="2"/>
      <c r="G325" s="2"/>
      <c r="H325" s="2"/>
      <c r="I325" s="19"/>
    </row>
    <row r="326" ht="15.75" customHeight="1">
      <c r="A326" s="2"/>
      <c r="B326" s="2"/>
      <c r="C326" s="30"/>
      <c r="D326" s="2"/>
      <c r="E326" s="2"/>
      <c r="F326" s="2"/>
      <c r="G326" s="2"/>
      <c r="H326" s="2"/>
      <c r="I326" s="19"/>
    </row>
    <row r="327" ht="15.75" customHeight="1">
      <c r="A327" s="2"/>
      <c r="B327" s="2"/>
      <c r="C327" s="30"/>
      <c r="D327" s="2"/>
      <c r="E327" s="2"/>
      <c r="F327" s="2"/>
      <c r="G327" s="2"/>
      <c r="H327" s="2"/>
      <c r="I327" s="19"/>
    </row>
    <row r="328" ht="15.75" customHeight="1">
      <c r="A328" s="2"/>
      <c r="B328" s="2"/>
      <c r="C328" s="30"/>
      <c r="D328" s="2"/>
      <c r="E328" s="2"/>
      <c r="F328" s="2"/>
      <c r="G328" s="2"/>
      <c r="H328" s="2"/>
      <c r="I328" s="19"/>
    </row>
    <row r="329" ht="15.75" customHeight="1">
      <c r="A329" s="2"/>
      <c r="B329" s="2"/>
      <c r="C329" s="30"/>
      <c r="D329" s="2"/>
      <c r="E329" s="2"/>
      <c r="F329" s="2"/>
      <c r="G329" s="2"/>
      <c r="H329" s="2"/>
      <c r="I329" s="19"/>
    </row>
    <row r="330" ht="15.75" customHeight="1">
      <c r="A330" s="2"/>
      <c r="B330" s="2"/>
      <c r="C330" s="30"/>
      <c r="D330" s="2"/>
      <c r="E330" s="2"/>
      <c r="F330" s="2"/>
      <c r="G330" s="2"/>
      <c r="H330" s="2"/>
      <c r="I330" s="19"/>
    </row>
    <row r="331" ht="15.75" customHeight="1">
      <c r="A331" s="2"/>
      <c r="B331" s="2"/>
      <c r="C331" s="30"/>
      <c r="D331" s="2"/>
      <c r="E331" s="2"/>
      <c r="F331" s="2"/>
      <c r="G331" s="2"/>
      <c r="H331" s="2"/>
      <c r="I331" s="19"/>
    </row>
    <row r="332" ht="15.75" customHeight="1">
      <c r="A332" s="2"/>
      <c r="B332" s="2"/>
      <c r="C332" s="30"/>
      <c r="D332" s="2"/>
      <c r="E332" s="2"/>
      <c r="F332" s="2"/>
      <c r="G332" s="2"/>
      <c r="H332" s="2"/>
      <c r="I332" s="19"/>
    </row>
    <row r="333" ht="15.75" customHeight="1">
      <c r="A333" s="2"/>
      <c r="B333" s="2"/>
      <c r="C333" s="30"/>
      <c r="D333" s="2"/>
      <c r="E333" s="2"/>
      <c r="F333" s="2"/>
      <c r="G333" s="2"/>
      <c r="H333" s="2"/>
      <c r="I333" s="19"/>
    </row>
    <row r="334" ht="15.75" customHeight="1">
      <c r="A334" s="2"/>
      <c r="B334" s="2"/>
      <c r="C334" s="30"/>
      <c r="D334" s="2"/>
      <c r="E334" s="2"/>
      <c r="F334" s="2"/>
      <c r="G334" s="2"/>
      <c r="H334" s="2"/>
      <c r="I334" s="19"/>
    </row>
    <row r="335" ht="15.75" customHeight="1">
      <c r="A335" s="2"/>
      <c r="B335" s="2"/>
      <c r="C335" s="30"/>
      <c r="D335" s="2"/>
      <c r="E335" s="2"/>
      <c r="F335" s="2"/>
      <c r="G335" s="2"/>
      <c r="H335" s="2"/>
      <c r="I335" s="19"/>
    </row>
    <row r="336" ht="15.75" customHeight="1">
      <c r="A336" s="2"/>
      <c r="B336" s="2"/>
      <c r="C336" s="30"/>
      <c r="D336" s="2"/>
      <c r="E336" s="2"/>
      <c r="F336" s="2"/>
      <c r="G336" s="2"/>
      <c r="H336" s="2"/>
      <c r="I336" s="19"/>
    </row>
    <row r="337" ht="15.75" customHeight="1">
      <c r="A337" s="2"/>
      <c r="B337" s="2"/>
      <c r="C337" s="30"/>
      <c r="D337" s="2"/>
      <c r="E337" s="2"/>
      <c r="F337" s="2"/>
      <c r="G337" s="2"/>
      <c r="H337" s="2"/>
      <c r="I337" s="19"/>
    </row>
    <row r="338" ht="15.75" customHeight="1">
      <c r="A338" s="2"/>
      <c r="B338" s="2"/>
      <c r="C338" s="30"/>
      <c r="D338" s="2"/>
      <c r="E338" s="2"/>
      <c r="F338" s="2"/>
      <c r="G338" s="2"/>
      <c r="H338" s="2"/>
      <c r="I338" s="19"/>
    </row>
    <row r="339" ht="15.75" customHeight="1">
      <c r="A339" s="2"/>
      <c r="B339" s="2"/>
      <c r="C339" s="30"/>
      <c r="D339" s="2"/>
      <c r="E339" s="2"/>
      <c r="F339" s="2"/>
      <c r="G339" s="2"/>
      <c r="H339" s="2"/>
      <c r="I339" s="19"/>
    </row>
    <row r="340" ht="15.75" customHeight="1">
      <c r="A340" s="2"/>
      <c r="B340" s="2"/>
      <c r="C340" s="30"/>
      <c r="D340" s="2"/>
      <c r="E340" s="2"/>
      <c r="F340" s="2"/>
      <c r="G340" s="2"/>
      <c r="H340" s="2"/>
      <c r="I340" s="19"/>
    </row>
    <row r="341" ht="15.75" customHeight="1">
      <c r="A341" s="2"/>
      <c r="B341" s="2"/>
      <c r="C341" s="30"/>
      <c r="D341" s="2"/>
      <c r="E341" s="2"/>
      <c r="F341" s="2"/>
      <c r="G341" s="2"/>
      <c r="H341" s="2"/>
      <c r="I341" s="19"/>
    </row>
    <row r="342" ht="15.75" customHeight="1">
      <c r="A342" s="2"/>
      <c r="B342" s="2"/>
      <c r="C342" s="30"/>
      <c r="D342" s="2"/>
      <c r="E342" s="2"/>
      <c r="F342" s="2"/>
      <c r="G342" s="2"/>
      <c r="H342" s="2"/>
      <c r="I342" s="19"/>
    </row>
    <row r="343" ht="15.75" customHeight="1">
      <c r="A343" s="2"/>
      <c r="B343" s="2"/>
      <c r="C343" s="30"/>
      <c r="D343" s="2"/>
      <c r="E343" s="2"/>
      <c r="F343" s="2"/>
      <c r="G343" s="2"/>
      <c r="H343" s="2"/>
      <c r="I343" s="19"/>
    </row>
    <row r="344" ht="15.75" customHeight="1">
      <c r="A344" s="2"/>
      <c r="B344" s="2"/>
      <c r="C344" s="30"/>
      <c r="D344" s="2"/>
      <c r="E344" s="2"/>
      <c r="F344" s="2"/>
      <c r="G344" s="2"/>
      <c r="H344" s="2"/>
      <c r="I344" s="19"/>
    </row>
    <row r="345" ht="15.75" customHeight="1">
      <c r="A345" s="2"/>
      <c r="B345" s="2"/>
      <c r="C345" s="30"/>
      <c r="D345" s="2"/>
      <c r="E345" s="2"/>
      <c r="F345" s="2"/>
      <c r="G345" s="2"/>
      <c r="H345" s="2"/>
      <c r="I345" s="19"/>
    </row>
    <row r="346" ht="15.75" customHeight="1">
      <c r="A346" s="2"/>
      <c r="B346" s="2"/>
      <c r="C346" s="30"/>
      <c r="D346" s="2"/>
      <c r="E346" s="2"/>
      <c r="F346" s="2"/>
      <c r="G346" s="2"/>
      <c r="H346" s="2"/>
      <c r="I346" s="19"/>
    </row>
    <row r="347" ht="15.75" customHeight="1">
      <c r="A347" s="2"/>
      <c r="B347" s="2"/>
      <c r="C347" s="30"/>
      <c r="D347" s="2"/>
      <c r="E347" s="2"/>
      <c r="F347" s="2"/>
      <c r="G347" s="2"/>
      <c r="H347" s="2"/>
      <c r="I347" s="19"/>
    </row>
    <row r="348" ht="15.75" customHeight="1">
      <c r="A348" s="2"/>
      <c r="B348" s="2"/>
      <c r="C348" s="30"/>
      <c r="D348" s="2"/>
      <c r="E348" s="2"/>
      <c r="F348" s="2"/>
      <c r="G348" s="2"/>
      <c r="H348" s="2"/>
      <c r="I348" s="19"/>
    </row>
    <row r="349" ht="15.75" customHeight="1">
      <c r="A349" s="2"/>
      <c r="B349" s="2"/>
      <c r="C349" s="30"/>
      <c r="D349" s="2"/>
      <c r="E349" s="2"/>
      <c r="F349" s="2"/>
      <c r="G349" s="2"/>
      <c r="H349" s="2"/>
      <c r="I349" s="19"/>
    </row>
    <row r="350" ht="15.75" customHeight="1">
      <c r="A350" s="2"/>
      <c r="B350" s="2"/>
      <c r="C350" s="30"/>
      <c r="D350" s="2"/>
      <c r="E350" s="2"/>
      <c r="F350" s="2"/>
      <c r="G350" s="2"/>
      <c r="H350" s="2"/>
      <c r="I350" s="19"/>
    </row>
    <row r="351" ht="15.75" customHeight="1">
      <c r="A351" s="2"/>
      <c r="B351" s="2"/>
      <c r="C351" s="30"/>
      <c r="D351" s="2"/>
      <c r="E351" s="2"/>
      <c r="F351" s="2"/>
      <c r="G351" s="2"/>
      <c r="H351" s="2"/>
      <c r="I351" s="19"/>
    </row>
    <row r="352" ht="15.75" customHeight="1">
      <c r="A352" s="2"/>
      <c r="B352" s="2"/>
      <c r="C352" s="30"/>
      <c r="D352" s="2"/>
      <c r="E352" s="2"/>
      <c r="F352" s="2"/>
      <c r="G352" s="2"/>
      <c r="H352" s="2"/>
      <c r="I352" s="19"/>
    </row>
    <row r="353" ht="15.75" customHeight="1">
      <c r="A353" s="2"/>
      <c r="B353" s="2"/>
      <c r="C353" s="30"/>
      <c r="D353" s="2"/>
      <c r="E353" s="2"/>
      <c r="F353" s="2"/>
      <c r="G353" s="2"/>
      <c r="H353" s="2"/>
      <c r="I353" s="19"/>
    </row>
    <row r="354" ht="15.75" customHeight="1">
      <c r="A354" s="2"/>
      <c r="B354" s="2"/>
      <c r="C354" s="30"/>
      <c r="D354" s="2"/>
      <c r="E354" s="2"/>
      <c r="F354" s="2"/>
      <c r="G354" s="2"/>
      <c r="H354" s="2"/>
      <c r="I354" s="19"/>
    </row>
    <row r="355" ht="15.75" customHeight="1">
      <c r="A355" s="2"/>
      <c r="B355" s="2"/>
      <c r="C355" s="30"/>
      <c r="D355" s="2"/>
      <c r="E355" s="2"/>
      <c r="F355" s="2"/>
      <c r="G355" s="2"/>
      <c r="H355" s="2"/>
      <c r="I355" s="19"/>
    </row>
    <row r="356" ht="15.75" customHeight="1">
      <c r="A356" s="2"/>
      <c r="B356" s="2"/>
      <c r="C356" s="30"/>
      <c r="D356" s="2"/>
      <c r="E356" s="2"/>
      <c r="F356" s="2"/>
      <c r="G356" s="2"/>
      <c r="H356" s="2"/>
      <c r="I356" s="19"/>
    </row>
    <row r="357" ht="15.75" customHeight="1">
      <c r="A357" s="2"/>
      <c r="B357" s="2"/>
      <c r="C357" s="30"/>
      <c r="D357" s="2"/>
      <c r="E357" s="2"/>
      <c r="F357" s="2"/>
      <c r="G357" s="2"/>
      <c r="H357" s="2"/>
      <c r="I357" s="19"/>
    </row>
    <row r="358" ht="15.75" customHeight="1">
      <c r="A358" s="2"/>
      <c r="B358" s="2"/>
      <c r="C358" s="30"/>
      <c r="D358" s="2"/>
      <c r="E358" s="2"/>
      <c r="F358" s="2"/>
      <c r="G358" s="2"/>
      <c r="H358" s="2"/>
      <c r="I358" s="19"/>
    </row>
    <row r="359" ht="15.75" customHeight="1">
      <c r="A359" s="2"/>
      <c r="B359" s="2"/>
      <c r="C359" s="30"/>
      <c r="D359" s="2"/>
      <c r="E359" s="2"/>
      <c r="F359" s="2"/>
      <c r="G359" s="2"/>
      <c r="H359" s="2"/>
      <c r="I359" s="19"/>
    </row>
    <row r="360" ht="15.75" customHeight="1">
      <c r="A360" s="2"/>
      <c r="B360" s="2"/>
      <c r="C360" s="30"/>
      <c r="D360" s="2"/>
      <c r="E360" s="2"/>
      <c r="F360" s="2"/>
      <c r="G360" s="2"/>
      <c r="H360" s="2"/>
      <c r="I360" s="19"/>
    </row>
    <row r="361" ht="15.75" customHeight="1">
      <c r="A361" s="2"/>
      <c r="B361" s="2"/>
      <c r="C361" s="30"/>
      <c r="D361" s="2"/>
      <c r="E361" s="2"/>
      <c r="F361" s="2"/>
      <c r="G361" s="2"/>
      <c r="H361" s="2"/>
      <c r="I361" s="19"/>
    </row>
    <row r="362" ht="15.75" customHeight="1">
      <c r="A362" s="2"/>
      <c r="B362" s="2"/>
      <c r="C362" s="30"/>
      <c r="D362" s="2"/>
      <c r="E362" s="2"/>
      <c r="F362" s="2"/>
      <c r="G362" s="2"/>
      <c r="H362" s="2"/>
      <c r="I362" s="19"/>
    </row>
    <row r="363" ht="15.75" customHeight="1">
      <c r="A363" s="2"/>
      <c r="B363" s="2"/>
      <c r="C363" s="30"/>
      <c r="D363" s="2"/>
      <c r="E363" s="2"/>
      <c r="F363" s="2"/>
      <c r="G363" s="2"/>
      <c r="H363" s="2"/>
      <c r="I363" s="19"/>
    </row>
    <row r="364" ht="15.75" customHeight="1">
      <c r="A364" s="2"/>
      <c r="B364" s="2"/>
      <c r="C364" s="30"/>
      <c r="D364" s="2"/>
      <c r="E364" s="2"/>
      <c r="F364" s="2"/>
      <c r="G364" s="2"/>
      <c r="H364" s="2"/>
      <c r="I364" s="19"/>
    </row>
    <row r="365" ht="15.75" customHeight="1">
      <c r="A365" s="2"/>
      <c r="B365" s="2"/>
      <c r="C365" s="30"/>
      <c r="D365" s="2"/>
      <c r="E365" s="2"/>
      <c r="F365" s="2"/>
      <c r="G365" s="2"/>
      <c r="H365" s="2"/>
      <c r="I365" s="19"/>
    </row>
    <row r="366" ht="15.75" customHeight="1">
      <c r="A366" s="2"/>
      <c r="B366" s="2"/>
      <c r="C366" s="30"/>
      <c r="D366" s="2"/>
      <c r="E366" s="2"/>
      <c r="F366" s="2"/>
      <c r="G366" s="2"/>
      <c r="H366" s="2"/>
      <c r="I366" s="19"/>
    </row>
    <row r="367" ht="15.75" customHeight="1">
      <c r="A367" s="2"/>
      <c r="B367" s="2"/>
      <c r="C367" s="30"/>
      <c r="D367" s="2"/>
      <c r="E367" s="2"/>
      <c r="F367" s="2"/>
      <c r="G367" s="2"/>
      <c r="H367" s="2"/>
      <c r="I367" s="19"/>
    </row>
    <row r="368" ht="15.75" customHeight="1">
      <c r="A368" s="2"/>
      <c r="B368" s="2"/>
      <c r="C368" s="30"/>
      <c r="D368" s="2"/>
      <c r="E368" s="2"/>
      <c r="F368" s="2"/>
      <c r="G368" s="2"/>
      <c r="H368" s="2"/>
      <c r="I368" s="19"/>
    </row>
    <row r="369" ht="15.75" customHeight="1">
      <c r="A369" s="2"/>
      <c r="B369" s="2"/>
      <c r="C369" s="30"/>
      <c r="D369" s="2"/>
      <c r="E369" s="2"/>
      <c r="F369" s="2"/>
      <c r="G369" s="2"/>
      <c r="H369" s="2"/>
      <c r="I369" s="19"/>
    </row>
    <row r="370" ht="15.75" customHeight="1">
      <c r="A370" s="2"/>
      <c r="B370" s="2"/>
      <c r="C370" s="30"/>
      <c r="D370" s="2"/>
      <c r="E370" s="2"/>
      <c r="F370" s="2"/>
      <c r="G370" s="2"/>
      <c r="H370" s="2"/>
      <c r="I370" s="19"/>
    </row>
    <row r="371" ht="15.75" customHeight="1">
      <c r="A371" s="2"/>
      <c r="B371" s="2"/>
      <c r="C371" s="30"/>
      <c r="D371" s="2"/>
      <c r="E371" s="2"/>
      <c r="F371" s="2"/>
      <c r="G371" s="2"/>
      <c r="H371" s="2"/>
      <c r="I371" s="19"/>
    </row>
    <row r="372" ht="15.75" customHeight="1">
      <c r="A372" s="2"/>
      <c r="B372" s="2"/>
      <c r="C372" s="30"/>
      <c r="D372" s="2"/>
      <c r="E372" s="2"/>
      <c r="F372" s="2"/>
      <c r="G372" s="2"/>
      <c r="H372" s="2"/>
      <c r="I372" s="19"/>
    </row>
    <row r="373" ht="15.75" customHeight="1">
      <c r="A373" s="2"/>
      <c r="B373" s="2"/>
      <c r="C373" s="30"/>
      <c r="D373" s="2"/>
      <c r="E373" s="2"/>
      <c r="F373" s="2"/>
      <c r="G373" s="2"/>
      <c r="H373" s="2"/>
      <c r="I373" s="19"/>
    </row>
    <row r="374" ht="15.75" customHeight="1">
      <c r="A374" s="2"/>
      <c r="B374" s="2"/>
      <c r="C374" s="30"/>
      <c r="D374" s="2"/>
      <c r="E374" s="2"/>
      <c r="F374" s="2"/>
      <c r="G374" s="2"/>
      <c r="H374" s="2"/>
      <c r="I374" s="19"/>
    </row>
    <row r="375" ht="15.75" customHeight="1">
      <c r="A375" s="2"/>
      <c r="B375" s="2"/>
      <c r="C375" s="30"/>
      <c r="D375" s="2"/>
      <c r="E375" s="2"/>
      <c r="F375" s="2"/>
      <c r="G375" s="2"/>
      <c r="H375" s="2"/>
      <c r="I375" s="19"/>
    </row>
    <row r="376" ht="15.75" customHeight="1">
      <c r="A376" s="2"/>
      <c r="B376" s="2"/>
      <c r="C376" s="30"/>
      <c r="D376" s="2"/>
      <c r="E376" s="2"/>
      <c r="F376" s="2"/>
      <c r="G376" s="2"/>
      <c r="H376" s="2"/>
      <c r="I376" s="19"/>
    </row>
    <row r="377" ht="15.75" customHeight="1">
      <c r="A377" s="2"/>
      <c r="B377" s="2"/>
      <c r="C377" s="30"/>
      <c r="D377" s="2"/>
      <c r="E377" s="2"/>
      <c r="F377" s="2"/>
      <c r="G377" s="2"/>
      <c r="H377" s="2"/>
      <c r="I377" s="19"/>
    </row>
    <row r="378" ht="15.75" customHeight="1">
      <c r="A378" s="2"/>
      <c r="B378" s="2"/>
      <c r="C378" s="30"/>
      <c r="D378" s="2"/>
      <c r="E378" s="2"/>
      <c r="F378" s="2"/>
      <c r="G378" s="2"/>
      <c r="H378" s="2"/>
      <c r="I378" s="19"/>
    </row>
    <row r="379" ht="15.75" customHeight="1">
      <c r="A379" s="2"/>
      <c r="B379" s="2"/>
      <c r="C379" s="30"/>
      <c r="D379" s="2"/>
      <c r="E379" s="2"/>
      <c r="F379" s="2"/>
      <c r="G379" s="2"/>
      <c r="H379" s="2"/>
      <c r="I379" s="19"/>
    </row>
    <row r="380" ht="15.75" customHeight="1">
      <c r="A380" s="2"/>
      <c r="B380" s="2"/>
      <c r="C380" s="30"/>
      <c r="D380" s="2"/>
      <c r="E380" s="2"/>
      <c r="F380" s="2"/>
      <c r="G380" s="2"/>
      <c r="H380" s="2"/>
      <c r="I380" s="19"/>
    </row>
    <row r="381" ht="15.75" customHeight="1">
      <c r="A381" s="2"/>
      <c r="B381" s="2"/>
      <c r="C381" s="30"/>
      <c r="D381" s="2"/>
      <c r="E381" s="2"/>
      <c r="F381" s="2"/>
      <c r="G381" s="2"/>
      <c r="H381" s="2"/>
      <c r="I381" s="19"/>
    </row>
    <row r="382" ht="15.75" customHeight="1">
      <c r="A382" s="2"/>
      <c r="B382" s="2"/>
      <c r="C382" s="30"/>
      <c r="D382" s="2"/>
      <c r="E382" s="2"/>
      <c r="F382" s="2"/>
      <c r="G382" s="2"/>
      <c r="H382" s="2"/>
      <c r="I382" s="19"/>
    </row>
    <row r="383" ht="15.75" customHeight="1">
      <c r="A383" s="2"/>
      <c r="B383" s="2"/>
      <c r="C383" s="30"/>
      <c r="D383" s="2"/>
      <c r="E383" s="2"/>
      <c r="F383" s="2"/>
      <c r="G383" s="2"/>
      <c r="H383" s="2"/>
      <c r="I383" s="19"/>
    </row>
    <row r="384" ht="15.75" customHeight="1">
      <c r="A384" s="2"/>
      <c r="B384" s="2"/>
      <c r="C384" s="30"/>
      <c r="D384" s="2"/>
      <c r="E384" s="2"/>
      <c r="F384" s="2"/>
      <c r="G384" s="2"/>
      <c r="H384" s="2"/>
      <c r="I384" s="19"/>
    </row>
    <row r="385" ht="15.75" customHeight="1">
      <c r="A385" s="2"/>
      <c r="B385" s="2"/>
      <c r="C385" s="30"/>
      <c r="D385" s="2"/>
      <c r="E385" s="2"/>
      <c r="F385" s="2"/>
      <c r="G385" s="2"/>
      <c r="H385" s="2"/>
      <c r="I385" s="19"/>
    </row>
    <row r="386" ht="15.75" customHeight="1">
      <c r="A386" s="2"/>
      <c r="B386" s="2"/>
      <c r="C386" s="30"/>
      <c r="D386" s="2"/>
      <c r="E386" s="2"/>
      <c r="F386" s="2"/>
      <c r="G386" s="2"/>
      <c r="H386" s="2"/>
      <c r="I386" s="19"/>
    </row>
    <row r="387" ht="15.75" customHeight="1">
      <c r="A387" s="2"/>
      <c r="B387" s="2"/>
      <c r="C387" s="30"/>
      <c r="D387" s="2"/>
      <c r="E387" s="2"/>
      <c r="F387" s="2"/>
      <c r="G387" s="2"/>
      <c r="H387" s="2"/>
      <c r="I387" s="19"/>
    </row>
    <row r="388" ht="15.75" customHeight="1">
      <c r="A388" s="2"/>
      <c r="B388" s="2"/>
      <c r="C388" s="30"/>
      <c r="D388" s="2"/>
      <c r="E388" s="2"/>
      <c r="F388" s="2"/>
      <c r="G388" s="2"/>
      <c r="H388" s="2"/>
      <c r="I388" s="19"/>
    </row>
    <row r="389" ht="15.75" customHeight="1">
      <c r="A389" s="2"/>
      <c r="B389" s="2"/>
      <c r="C389" s="30"/>
      <c r="D389" s="2"/>
      <c r="E389" s="2"/>
      <c r="F389" s="2"/>
      <c r="G389" s="2"/>
      <c r="H389" s="2"/>
      <c r="I389" s="19"/>
    </row>
    <row r="390" ht="15.75" customHeight="1">
      <c r="A390" s="2"/>
      <c r="B390" s="2"/>
      <c r="C390" s="30"/>
      <c r="D390" s="2"/>
      <c r="E390" s="2"/>
      <c r="F390" s="2"/>
      <c r="G390" s="2"/>
      <c r="H390" s="2"/>
      <c r="I390" s="19"/>
    </row>
    <row r="391" ht="15.75" customHeight="1">
      <c r="A391" s="2"/>
      <c r="B391" s="2"/>
      <c r="C391" s="30"/>
      <c r="D391" s="2"/>
      <c r="E391" s="2"/>
      <c r="F391" s="2"/>
      <c r="G391" s="2"/>
      <c r="H391" s="2"/>
      <c r="I391" s="19"/>
    </row>
    <row r="392" ht="15.75" customHeight="1">
      <c r="A392" s="2"/>
      <c r="B392" s="2"/>
      <c r="C392" s="30"/>
      <c r="D392" s="2"/>
      <c r="E392" s="2"/>
      <c r="F392" s="2"/>
      <c r="G392" s="2"/>
      <c r="H392" s="2"/>
      <c r="I392" s="19"/>
    </row>
    <row r="393" ht="15.75" customHeight="1">
      <c r="A393" s="2"/>
      <c r="B393" s="2"/>
      <c r="C393" s="30"/>
      <c r="D393" s="2"/>
      <c r="E393" s="2"/>
      <c r="F393" s="2"/>
      <c r="G393" s="2"/>
      <c r="H393" s="2"/>
      <c r="I393" s="19"/>
    </row>
    <row r="394" ht="15.75" customHeight="1">
      <c r="A394" s="2"/>
      <c r="B394" s="2"/>
      <c r="C394" s="30"/>
      <c r="D394" s="2"/>
      <c r="E394" s="2"/>
      <c r="F394" s="2"/>
      <c r="G394" s="2"/>
      <c r="H394" s="2"/>
      <c r="I394" s="19"/>
    </row>
    <row r="395" ht="15.75" customHeight="1">
      <c r="A395" s="2"/>
      <c r="B395" s="2"/>
      <c r="C395" s="30"/>
      <c r="D395" s="2"/>
      <c r="E395" s="2"/>
      <c r="F395" s="2"/>
      <c r="G395" s="2"/>
      <c r="H395" s="2"/>
      <c r="I395" s="19"/>
    </row>
    <row r="396" ht="15.75" customHeight="1">
      <c r="A396" s="2"/>
      <c r="B396" s="2"/>
      <c r="C396" s="30"/>
      <c r="D396" s="2"/>
      <c r="E396" s="2"/>
      <c r="F396" s="2"/>
      <c r="G396" s="2"/>
      <c r="H396" s="2"/>
      <c r="I396" s="19"/>
    </row>
    <row r="397" ht="15.75" customHeight="1">
      <c r="A397" s="2"/>
      <c r="B397" s="2"/>
      <c r="C397" s="30"/>
      <c r="D397" s="2"/>
      <c r="E397" s="2"/>
      <c r="F397" s="2"/>
      <c r="G397" s="2"/>
      <c r="H397" s="2"/>
      <c r="I397" s="19"/>
    </row>
    <row r="398" ht="15.75" customHeight="1">
      <c r="A398" s="2"/>
      <c r="B398" s="2"/>
      <c r="C398" s="30"/>
      <c r="D398" s="2"/>
      <c r="E398" s="2"/>
      <c r="F398" s="2"/>
      <c r="G398" s="2"/>
      <c r="H398" s="2"/>
      <c r="I398" s="19"/>
    </row>
    <row r="399" ht="15.75" customHeight="1">
      <c r="A399" s="2"/>
      <c r="B399" s="2"/>
      <c r="C399" s="30"/>
      <c r="D399" s="2"/>
      <c r="E399" s="2"/>
      <c r="F399" s="2"/>
      <c r="G399" s="2"/>
      <c r="H399" s="2"/>
      <c r="I399" s="19"/>
    </row>
    <row r="400" ht="15.75" customHeight="1">
      <c r="A400" s="2"/>
      <c r="B400" s="2"/>
      <c r="C400" s="30"/>
      <c r="D400" s="2"/>
      <c r="E400" s="2"/>
      <c r="F400" s="2"/>
      <c r="G400" s="2"/>
      <c r="H400" s="2"/>
      <c r="I400" s="19"/>
    </row>
    <row r="401" ht="15.75" customHeight="1">
      <c r="A401" s="2"/>
      <c r="B401" s="2"/>
      <c r="C401" s="30"/>
      <c r="D401" s="2"/>
      <c r="E401" s="2"/>
      <c r="F401" s="2"/>
      <c r="G401" s="2"/>
      <c r="H401" s="2"/>
      <c r="I401" s="19"/>
    </row>
    <row r="402" ht="15.75" customHeight="1">
      <c r="A402" s="2"/>
      <c r="B402" s="2"/>
      <c r="C402" s="30"/>
      <c r="D402" s="2"/>
      <c r="E402" s="2"/>
      <c r="F402" s="2"/>
      <c r="G402" s="2"/>
      <c r="H402" s="2"/>
      <c r="I402" s="19"/>
    </row>
    <row r="403" ht="15.75" customHeight="1">
      <c r="A403" s="2"/>
      <c r="B403" s="2"/>
      <c r="C403" s="30"/>
      <c r="D403" s="2"/>
      <c r="E403" s="2"/>
      <c r="F403" s="2"/>
      <c r="G403" s="2"/>
      <c r="H403" s="2"/>
      <c r="I403" s="19"/>
    </row>
    <row r="404" ht="15.75" customHeight="1">
      <c r="A404" s="2"/>
      <c r="B404" s="2"/>
      <c r="C404" s="30"/>
      <c r="D404" s="2"/>
      <c r="E404" s="2"/>
      <c r="F404" s="2"/>
      <c r="G404" s="2"/>
      <c r="H404" s="2"/>
      <c r="I404" s="19"/>
    </row>
    <row r="405" ht="15.75" customHeight="1">
      <c r="A405" s="2"/>
      <c r="B405" s="2"/>
      <c r="C405" s="30"/>
      <c r="D405" s="2"/>
      <c r="E405" s="2"/>
      <c r="F405" s="2"/>
      <c r="G405" s="2"/>
      <c r="H405" s="2"/>
      <c r="I405" s="19"/>
    </row>
    <row r="406" ht="15.75" customHeight="1">
      <c r="A406" s="2"/>
      <c r="B406" s="2"/>
      <c r="C406" s="30"/>
      <c r="D406" s="2"/>
      <c r="E406" s="2"/>
      <c r="F406" s="2"/>
      <c r="G406" s="2"/>
      <c r="H406" s="2"/>
      <c r="I406" s="19"/>
    </row>
    <row r="407" ht="15.75" customHeight="1">
      <c r="A407" s="2"/>
      <c r="B407" s="2"/>
      <c r="C407" s="30"/>
      <c r="D407" s="2"/>
      <c r="E407" s="2"/>
      <c r="F407" s="2"/>
      <c r="G407" s="2"/>
      <c r="H407" s="2"/>
      <c r="I407" s="19"/>
    </row>
    <row r="408" ht="15.75" customHeight="1">
      <c r="A408" s="2"/>
      <c r="B408" s="2"/>
      <c r="C408" s="30"/>
      <c r="D408" s="2"/>
      <c r="E408" s="2"/>
      <c r="F408" s="2"/>
      <c r="G408" s="2"/>
      <c r="H408" s="2"/>
      <c r="I408" s="19"/>
    </row>
    <row r="409" ht="15.75" customHeight="1">
      <c r="A409" s="2"/>
      <c r="B409" s="2"/>
      <c r="C409" s="30"/>
      <c r="D409" s="2"/>
      <c r="E409" s="2"/>
      <c r="F409" s="2"/>
      <c r="G409" s="2"/>
      <c r="H409" s="2"/>
      <c r="I409" s="19"/>
    </row>
    <row r="410" ht="15.75" customHeight="1">
      <c r="A410" s="2"/>
      <c r="B410" s="2"/>
      <c r="C410" s="30"/>
      <c r="D410" s="2"/>
      <c r="E410" s="2"/>
      <c r="F410" s="2"/>
      <c r="G410" s="2"/>
      <c r="H410" s="2"/>
      <c r="I410" s="19"/>
    </row>
    <row r="411" ht="15.75" customHeight="1">
      <c r="A411" s="2"/>
      <c r="B411" s="2"/>
      <c r="C411" s="30"/>
      <c r="D411" s="2"/>
      <c r="E411" s="2"/>
      <c r="F411" s="2"/>
      <c r="G411" s="2"/>
      <c r="H411" s="2"/>
      <c r="I411" s="19"/>
    </row>
    <row r="412" ht="15.75" customHeight="1">
      <c r="A412" s="2"/>
      <c r="B412" s="2"/>
      <c r="C412" s="30"/>
      <c r="D412" s="2"/>
      <c r="E412" s="2"/>
      <c r="F412" s="2"/>
      <c r="G412" s="2"/>
      <c r="H412" s="2"/>
      <c r="I412" s="19"/>
    </row>
    <row r="413" ht="15.75" customHeight="1">
      <c r="A413" s="2"/>
      <c r="B413" s="2"/>
      <c r="C413" s="30"/>
      <c r="D413" s="2"/>
      <c r="E413" s="2"/>
      <c r="F413" s="2"/>
      <c r="G413" s="2"/>
      <c r="H413" s="2"/>
      <c r="I413" s="19"/>
    </row>
    <row r="414" ht="15.75" customHeight="1">
      <c r="A414" s="2"/>
      <c r="B414" s="2"/>
      <c r="C414" s="30"/>
      <c r="D414" s="2"/>
      <c r="E414" s="2"/>
      <c r="F414" s="2"/>
      <c r="G414" s="2"/>
      <c r="H414" s="2"/>
      <c r="I414" s="19"/>
    </row>
    <row r="415" ht="15.75" customHeight="1">
      <c r="A415" s="2"/>
      <c r="B415" s="2"/>
      <c r="C415" s="30"/>
      <c r="D415" s="2"/>
      <c r="E415" s="2"/>
      <c r="F415" s="2"/>
      <c r="G415" s="2"/>
      <c r="H415" s="2"/>
      <c r="I415" s="19"/>
    </row>
    <row r="416" ht="15.75" customHeight="1">
      <c r="A416" s="2"/>
      <c r="B416" s="2"/>
      <c r="C416" s="30"/>
      <c r="D416" s="2"/>
      <c r="E416" s="2"/>
      <c r="F416" s="2"/>
      <c r="G416" s="2"/>
      <c r="H416" s="2"/>
      <c r="I416" s="19"/>
    </row>
    <row r="417" ht="15.75" customHeight="1">
      <c r="A417" s="2"/>
      <c r="B417" s="2"/>
      <c r="C417" s="30"/>
      <c r="D417" s="2"/>
      <c r="E417" s="2"/>
      <c r="F417" s="2"/>
      <c r="G417" s="2"/>
      <c r="H417" s="2"/>
      <c r="I417" s="19"/>
    </row>
    <row r="418" ht="15.75" customHeight="1">
      <c r="A418" s="2"/>
      <c r="B418" s="2"/>
      <c r="C418" s="30"/>
      <c r="D418" s="2"/>
      <c r="E418" s="2"/>
      <c r="F418" s="2"/>
      <c r="G418" s="2"/>
      <c r="H418" s="2"/>
      <c r="I418" s="19"/>
    </row>
    <row r="419" ht="15.75" customHeight="1">
      <c r="A419" s="2"/>
      <c r="B419" s="2"/>
      <c r="C419" s="30"/>
      <c r="D419" s="2"/>
      <c r="E419" s="2"/>
      <c r="F419" s="2"/>
      <c r="G419" s="2"/>
      <c r="H419" s="2"/>
      <c r="I419" s="19"/>
    </row>
    <row r="420" ht="15.75" customHeight="1">
      <c r="A420" s="2"/>
      <c r="B420" s="2"/>
      <c r="C420" s="30"/>
      <c r="D420" s="2"/>
      <c r="E420" s="2"/>
      <c r="F420" s="2"/>
      <c r="G420" s="2"/>
      <c r="H420" s="2"/>
      <c r="I420" s="19"/>
    </row>
    <row r="421" ht="15.75" customHeight="1">
      <c r="A421" s="2"/>
      <c r="B421" s="2"/>
      <c r="C421" s="30"/>
      <c r="D421" s="2"/>
      <c r="E421" s="2"/>
      <c r="F421" s="2"/>
      <c r="G421" s="2"/>
      <c r="H421" s="2"/>
      <c r="I421" s="19"/>
    </row>
    <row r="422" ht="15.75" customHeight="1">
      <c r="A422" s="2"/>
      <c r="B422" s="2"/>
      <c r="C422" s="30"/>
      <c r="D422" s="2"/>
      <c r="E422" s="2"/>
      <c r="F422" s="2"/>
      <c r="G422" s="2"/>
      <c r="H422" s="2"/>
      <c r="I422" s="19"/>
    </row>
    <row r="423" ht="15.75" customHeight="1">
      <c r="A423" s="2"/>
      <c r="B423" s="2"/>
      <c r="C423" s="30"/>
      <c r="D423" s="2"/>
      <c r="E423" s="2"/>
      <c r="F423" s="2"/>
      <c r="G423" s="2"/>
      <c r="H423" s="2"/>
      <c r="I423" s="19"/>
    </row>
    <row r="424" ht="15.75" customHeight="1">
      <c r="A424" s="2"/>
      <c r="B424" s="2"/>
      <c r="C424" s="30"/>
      <c r="D424" s="2"/>
      <c r="E424" s="2"/>
      <c r="F424" s="2"/>
      <c r="G424" s="2"/>
      <c r="H424" s="2"/>
      <c r="I424" s="19"/>
    </row>
    <row r="425" ht="15.75" customHeight="1">
      <c r="A425" s="2"/>
      <c r="B425" s="2"/>
      <c r="C425" s="30"/>
      <c r="D425" s="2"/>
      <c r="E425" s="2"/>
      <c r="F425" s="2"/>
      <c r="G425" s="2"/>
      <c r="H425" s="2"/>
      <c r="I425" s="19"/>
    </row>
    <row r="426" ht="15.75" customHeight="1">
      <c r="A426" s="2"/>
      <c r="B426" s="2"/>
      <c r="C426" s="30"/>
      <c r="D426" s="2"/>
      <c r="E426" s="2"/>
      <c r="F426" s="2"/>
      <c r="G426" s="2"/>
      <c r="H426" s="2"/>
      <c r="I426" s="19"/>
    </row>
    <row r="427" ht="15.75" customHeight="1">
      <c r="A427" s="2"/>
      <c r="B427" s="2"/>
      <c r="C427" s="30"/>
      <c r="D427" s="2"/>
      <c r="E427" s="2"/>
      <c r="F427" s="2"/>
      <c r="G427" s="2"/>
      <c r="H427" s="2"/>
      <c r="I427" s="19"/>
    </row>
    <row r="428" ht="15.75" customHeight="1">
      <c r="A428" s="2"/>
      <c r="B428" s="2"/>
      <c r="C428" s="30"/>
      <c r="D428" s="2"/>
      <c r="E428" s="2"/>
      <c r="F428" s="2"/>
      <c r="G428" s="2"/>
      <c r="H428" s="2"/>
      <c r="I428" s="19"/>
    </row>
    <row r="429" ht="15.75" customHeight="1">
      <c r="A429" s="2"/>
      <c r="B429" s="2"/>
      <c r="C429" s="30"/>
      <c r="D429" s="2"/>
      <c r="E429" s="2"/>
      <c r="F429" s="2"/>
      <c r="G429" s="2"/>
      <c r="H429" s="2"/>
      <c r="I429" s="19"/>
    </row>
    <row r="430" ht="15.75" customHeight="1">
      <c r="A430" s="2"/>
      <c r="B430" s="2"/>
      <c r="C430" s="30"/>
      <c r="D430" s="2"/>
      <c r="E430" s="2"/>
      <c r="F430" s="2"/>
      <c r="G430" s="2"/>
      <c r="H430" s="2"/>
      <c r="I430" s="19"/>
    </row>
    <row r="431" ht="15.75" customHeight="1">
      <c r="A431" s="2"/>
      <c r="B431" s="2"/>
      <c r="C431" s="30"/>
      <c r="D431" s="2"/>
      <c r="E431" s="2"/>
      <c r="F431" s="2"/>
      <c r="G431" s="2"/>
      <c r="H431" s="2"/>
      <c r="I431" s="19"/>
    </row>
    <row r="432" ht="15.75" customHeight="1">
      <c r="A432" s="2"/>
      <c r="B432" s="2"/>
      <c r="C432" s="30"/>
      <c r="D432" s="2"/>
      <c r="E432" s="2"/>
      <c r="F432" s="2"/>
      <c r="G432" s="2"/>
      <c r="H432" s="2"/>
      <c r="I432" s="19"/>
    </row>
    <row r="433" ht="15.75" customHeight="1">
      <c r="A433" s="2"/>
      <c r="B433" s="2"/>
      <c r="C433" s="30"/>
      <c r="D433" s="2"/>
      <c r="E433" s="2"/>
      <c r="F433" s="2"/>
      <c r="G433" s="2"/>
      <c r="H433" s="2"/>
      <c r="I433" s="19"/>
    </row>
    <row r="434" ht="15.75" customHeight="1">
      <c r="A434" s="2"/>
      <c r="B434" s="2"/>
      <c r="C434" s="30"/>
      <c r="D434" s="2"/>
      <c r="E434" s="2"/>
      <c r="F434" s="2"/>
      <c r="G434" s="2"/>
      <c r="H434" s="2"/>
      <c r="I434" s="19"/>
    </row>
    <row r="435" ht="15.75" customHeight="1">
      <c r="A435" s="2"/>
      <c r="B435" s="2"/>
      <c r="C435" s="30"/>
      <c r="D435" s="2"/>
      <c r="E435" s="2"/>
      <c r="F435" s="2"/>
      <c r="G435" s="2"/>
      <c r="H435" s="2"/>
      <c r="I435" s="19"/>
    </row>
    <row r="436" ht="15.75" customHeight="1">
      <c r="A436" s="2"/>
      <c r="B436" s="2"/>
      <c r="C436" s="30"/>
      <c r="D436" s="2"/>
      <c r="E436" s="2"/>
      <c r="F436" s="2"/>
      <c r="G436" s="2"/>
      <c r="H436" s="2"/>
      <c r="I436" s="19"/>
    </row>
    <row r="437" ht="15.75" customHeight="1">
      <c r="A437" s="2"/>
      <c r="B437" s="2"/>
      <c r="C437" s="30"/>
      <c r="D437" s="2"/>
      <c r="E437" s="2"/>
      <c r="F437" s="2"/>
      <c r="G437" s="2"/>
      <c r="H437" s="2"/>
      <c r="I437" s="19"/>
    </row>
    <row r="438" ht="15.75" customHeight="1">
      <c r="A438" s="2"/>
      <c r="B438" s="2"/>
      <c r="C438" s="30"/>
      <c r="D438" s="2"/>
      <c r="E438" s="2"/>
      <c r="F438" s="2"/>
      <c r="G438" s="2"/>
      <c r="H438" s="2"/>
      <c r="I438" s="19"/>
    </row>
    <row r="439" ht="15.75" customHeight="1">
      <c r="A439" s="2"/>
      <c r="B439" s="2"/>
      <c r="C439" s="30"/>
      <c r="D439" s="2"/>
      <c r="E439" s="2"/>
      <c r="F439" s="2"/>
      <c r="G439" s="2"/>
      <c r="H439" s="2"/>
      <c r="I439" s="19"/>
    </row>
    <row r="440" ht="15.75" customHeight="1">
      <c r="A440" s="2"/>
      <c r="B440" s="2"/>
      <c r="C440" s="30"/>
      <c r="D440" s="2"/>
      <c r="E440" s="2"/>
      <c r="F440" s="2"/>
      <c r="G440" s="2"/>
      <c r="H440" s="2"/>
      <c r="I440" s="19"/>
    </row>
    <row r="441" ht="15.75" customHeight="1">
      <c r="A441" s="2"/>
      <c r="B441" s="2"/>
      <c r="C441" s="30"/>
      <c r="D441" s="2"/>
      <c r="E441" s="2"/>
      <c r="F441" s="2"/>
      <c r="G441" s="2"/>
      <c r="H441" s="2"/>
      <c r="I441" s="19"/>
    </row>
    <row r="442" ht="15.75" customHeight="1">
      <c r="A442" s="2"/>
      <c r="B442" s="2"/>
      <c r="C442" s="30"/>
      <c r="D442" s="2"/>
      <c r="E442" s="2"/>
      <c r="F442" s="2"/>
      <c r="G442" s="2"/>
      <c r="H442" s="2"/>
      <c r="I442" s="19"/>
    </row>
    <row r="443" ht="15.75" customHeight="1">
      <c r="A443" s="2"/>
      <c r="B443" s="2"/>
      <c r="C443" s="30"/>
      <c r="D443" s="2"/>
      <c r="E443" s="2"/>
      <c r="F443" s="2"/>
      <c r="G443" s="2"/>
      <c r="H443" s="2"/>
      <c r="I443" s="19"/>
    </row>
    <row r="444" ht="15.75" customHeight="1">
      <c r="A444" s="2"/>
      <c r="B444" s="2"/>
      <c r="C444" s="30"/>
      <c r="D444" s="2"/>
      <c r="E444" s="2"/>
      <c r="F444" s="2"/>
      <c r="G444" s="2"/>
      <c r="H444" s="2"/>
      <c r="I444" s="19"/>
    </row>
    <row r="445" ht="15.75" customHeight="1">
      <c r="A445" s="2"/>
      <c r="B445" s="2"/>
      <c r="C445" s="30"/>
      <c r="D445" s="2"/>
      <c r="E445" s="2"/>
      <c r="F445" s="2"/>
      <c r="G445" s="2"/>
      <c r="H445" s="2"/>
      <c r="I445" s="19"/>
    </row>
    <row r="446" ht="15.75" customHeight="1">
      <c r="A446" s="2"/>
      <c r="B446" s="2"/>
      <c r="C446" s="30"/>
      <c r="D446" s="2"/>
      <c r="E446" s="2"/>
      <c r="F446" s="2"/>
      <c r="G446" s="2"/>
      <c r="H446" s="2"/>
      <c r="I446" s="19"/>
    </row>
    <row r="447" ht="15.75" customHeight="1">
      <c r="A447" s="2"/>
      <c r="B447" s="2"/>
      <c r="C447" s="30"/>
      <c r="D447" s="2"/>
      <c r="E447" s="2"/>
      <c r="F447" s="2"/>
      <c r="G447" s="2"/>
      <c r="H447" s="2"/>
      <c r="I447" s="19"/>
    </row>
    <row r="448" ht="15.75" customHeight="1">
      <c r="A448" s="2"/>
      <c r="B448" s="2"/>
      <c r="C448" s="30"/>
      <c r="D448" s="2"/>
      <c r="E448" s="2"/>
      <c r="F448" s="2"/>
      <c r="G448" s="2"/>
      <c r="H448" s="2"/>
      <c r="I448" s="19"/>
    </row>
    <row r="449" ht="15.75" customHeight="1">
      <c r="A449" s="2"/>
      <c r="B449" s="2"/>
      <c r="C449" s="30"/>
      <c r="D449" s="2"/>
      <c r="E449" s="2"/>
      <c r="F449" s="2"/>
      <c r="G449" s="2"/>
      <c r="H449" s="2"/>
      <c r="I449" s="19"/>
    </row>
    <row r="450" ht="15.75" customHeight="1">
      <c r="A450" s="2"/>
      <c r="B450" s="2"/>
      <c r="C450" s="30"/>
      <c r="D450" s="2"/>
      <c r="E450" s="2"/>
      <c r="F450" s="2"/>
      <c r="G450" s="2"/>
      <c r="H450" s="2"/>
      <c r="I450" s="19"/>
    </row>
    <row r="451" ht="15.75" customHeight="1">
      <c r="A451" s="2"/>
      <c r="B451" s="2"/>
      <c r="C451" s="30"/>
      <c r="D451" s="2"/>
      <c r="E451" s="2"/>
      <c r="F451" s="2"/>
      <c r="G451" s="2"/>
      <c r="H451" s="2"/>
      <c r="I451" s="19"/>
    </row>
    <row r="452" ht="15.75" customHeight="1">
      <c r="A452" s="2"/>
      <c r="B452" s="2"/>
      <c r="C452" s="30"/>
      <c r="D452" s="2"/>
      <c r="E452" s="2"/>
      <c r="F452" s="2"/>
      <c r="G452" s="2"/>
      <c r="H452" s="2"/>
      <c r="I452" s="19"/>
    </row>
    <row r="453" ht="15.75" customHeight="1">
      <c r="A453" s="2"/>
      <c r="B453" s="2"/>
      <c r="C453" s="30"/>
      <c r="D453" s="2"/>
      <c r="E453" s="2"/>
      <c r="F453" s="2"/>
      <c r="G453" s="2"/>
      <c r="H453" s="2"/>
      <c r="I453" s="19"/>
    </row>
    <row r="454" ht="15.75" customHeight="1">
      <c r="A454" s="2"/>
      <c r="B454" s="2"/>
      <c r="C454" s="30"/>
      <c r="D454" s="2"/>
      <c r="E454" s="2"/>
      <c r="F454" s="2"/>
      <c r="G454" s="2"/>
      <c r="H454" s="2"/>
      <c r="I454" s="19"/>
    </row>
    <row r="455" ht="15.75" customHeight="1">
      <c r="A455" s="2"/>
      <c r="B455" s="2"/>
      <c r="C455" s="30"/>
      <c r="D455" s="2"/>
      <c r="E455" s="2"/>
      <c r="F455" s="2"/>
      <c r="G455" s="2"/>
      <c r="H455" s="2"/>
      <c r="I455" s="19"/>
    </row>
    <row r="456" ht="15.75" customHeight="1">
      <c r="A456" s="2"/>
      <c r="B456" s="2"/>
      <c r="C456" s="30"/>
      <c r="D456" s="2"/>
      <c r="E456" s="2"/>
      <c r="F456" s="2"/>
      <c r="G456" s="2"/>
      <c r="H456" s="2"/>
      <c r="I456" s="19"/>
    </row>
    <row r="457" ht="15.75" customHeight="1">
      <c r="A457" s="2"/>
      <c r="B457" s="2"/>
      <c r="C457" s="30"/>
      <c r="D457" s="2"/>
      <c r="E457" s="2"/>
      <c r="F457" s="2"/>
      <c r="G457" s="2"/>
      <c r="H457" s="2"/>
      <c r="I457" s="19"/>
    </row>
    <row r="458" ht="15.75" customHeight="1">
      <c r="A458" s="2"/>
      <c r="B458" s="2"/>
      <c r="C458" s="30"/>
      <c r="D458" s="2"/>
      <c r="E458" s="2"/>
      <c r="F458" s="2"/>
      <c r="G458" s="2"/>
      <c r="H458" s="2"/>
      <c r="I458" s="19"/>
    </row>
    <row r="459" ht="15.75" customHeight="1">
      <c r="A459" s="2"/>
      <c r="B459" s="2"/>
      <c r="C459" s="30"/>
      <c r="D459" s="2"/>
      <c r="E459" s="2"/>
      <c r="F459" s="2"/>
      <c r="G459" s="2"/>
      <c r="H459" s="2"/>
      <c r="I459" s="19"/>
    </row>
    <row r="460" ht="15.75" customHeight="1">
      <c r="A460" s="2"/>
      <c r="B460" s="2"/>
      <c r="C460" s="30"/>
      <c r="D460" s="2"/>
      <c r="E460" s="2"/>
      <c r="F460" s="2"/>
      <c r="G460" s="2"/>
      <c r="H460" s="2"/>
      <c r="I460" s="19"/>
    </row>
    <row r="461" ht="15.75" customHeight="1">
      <c r="A461" s="2"/>
      <c r="B461" s="2"/>
      <c r="C461" s="30"/>
      <c r="D461" s="2"/>
      <c r="E461" s="2"/>
      <c r="F461" s="2"/>
      <c r="G461" s="2"/>
      <c r="H461" s="2"/>
      <c r="I461" s="19"/>
    </row>
    <row r="462" ht="15.75" customHeight="1">
      <c r="A462" s="2"/>
      <c r="B462" s="2"/>
      <c r="C462" s="30"/>
      <c r="D462" s="2"/>
      <c r="E462" s="2"/>
      <c r="F462" s="2"/>
      <c r="G462" s="2"/>
      <c r="H462" s="2"/>
      <c r="I462" s="19"/>
    </row>
    <row r="463" ht="15.75" customHeight="1">
      <c r="A463" s="2"/>
      <c r="B463" s="2"/>
      <c r="C463" s="30"/>
      <c r="D463" s="2"/>
      <c r="E463" s="2"/>
      <c r="F463" s="2"/>
      <c r="G463" s="2"/>
      <c r="H463" s="2"/>
      <c r="I463" s="19"/>
    </row>
    <row r="464" ht="15.75" customHeight="1">
      <c r="A464" s="2"/>
      <c r="B464" s="2"/>
      <c r="C464" s="30"/>
      <c r="D464" s="2"/>
      <c r="E464" s="2"/>
      <c r="F464" s="2"/>
      <c r="G464" s="2"/>
      <c r="H464" s="2"/>
      <c r="I464" s="19"/>
    </row>
    <row r="465" ht="15.75" customHeight="1">
      <c r="A465" s="2"/>
      <c r="B465" s="2"/>
      <c r="C465" s="30"/>
      <c r="D465" s="2"/>
      <c r="E465" s="2"/>
      <c r="F465" s="2"/>
      <c r="G465" s="2"/>
      <c r="H465" s="2"/>
      <c r="I465" s="19"/>
    </row>
    <row r="466" ht="15.75" customHeight="1">
      <c r="A466" s="2"/>
      <c r="B466" s="2"/>
      <c r="C466" s="30"/>
      <c r="D466" s="2"/>
      <c r="E466" s="2"/>
      <c r="F466" s="2"/>
      <c r="G466" s="2"/>
      <c r="H466" s="2"/>
      <c r="I466" s="19"/>
    </row>
    <row r="467" ht="15.75" customHeight="1">
      <c r="A467" s="2"/>
      <c r="B467" s="2"/>
      <c r="C467" s="30"/>
      <c r="D467" s="2"/>
      <c r="E467" s="2"/>
      <c r="F467" s="2"/>
      <c r="G467" s="2"/>
      <c r="H467" s="2"/>
      <c r="I467" s="19"/>
    </row>
    <row r="468" ht="15.75" customHeight="1">
      <c r="A468" s="2"/>
      <c r="B468" s="2"/>
      <c r="C468" s="30"/>
      <c r="D468" s="2"/>
      <c r="E468" s="2"/>
      <c r="F468" s="2"/>
      <c r="G468" s="2"/>
      <c r="H468" s="2"/>
      <c r="I468" s="19"/>
    </row>
    <row r="469" ht="15.75" customHeight="1">
      <c r="A469" s="2"/>
      <c r="B469" s="2"/>
      <c r="C469" s="30"/>
      <c r="D469" s="2"/>
      <c r="E469" s="2"/>
      <c r="F469" s="2"/>
      <c r="G469" s="2"/>
      <c r="H469" s="2"/>
      <c r="I469" s="19"/>
    </row>
    <row r="470" ht="15.75" customHeight="1">
      <c r="A470" s="2"/>
      <c r="B470" s="2"/>
      <c r="C470" s="30"/>
      <c r="D470" s="2"/>
      <c r="E470" s="2"/>
      <c r="F470" s="2"/>
      <c r="G470" s="2"/>
      <c r="H470" s="2"/>
      <c r="I470" s="19"/>
    </row>
    <row r="471" ht="15.75" customHeight="1">
      <c r="A471" s="2"/>
      <c r="B471" s="2"/>
      <c r="C471" s="30"/>
      <c r="D471" s="2"/>
      <c r="E471" s="2"/>
      <c r="F471" s="2"/>
      <c r="G471" s="2"/>
      <c r="H471" s="2"/>
      <c r="I471" s="19"/>
    </row>
    <row r="472" ht="15.75" customHeight="1">
      <c r="A472" s="2"/>
      <c r="B472" s="2"/>
      <c r="C472" s="30"/>
      <c r="D472" s="2"/>
      <c r="E472" s="2"/>
      <c r="F472" s="2"/>
      <c r="G472" s="2"/>
      <c r="H472" s="2"/>
      <c r="I472" s="19"/>
    </row>
    <row r="473" ht="15.75" customHeight="1">
      <c r="A473" s="2"/>
      <c r="B473" s="2"/>
      <c r="C473" s="30"/>
      <c r="D473" s="2"/>
      <c r="E473" s="2"/>
      <c r="F473" s="2"/>
      <c r="G473" s="2"/>
      <c r="H473" s="2"/>
      <c r="I473" s="19"/>
    </row>
    <row r="474" ht="15.75" customHeight="1">
      <c r="A474" s="2"/>
      <c r="B474" s="2"/>
      <c r="C474" s="30"/>
      <c r="D474" s="2"/>
      <c r="E474" s="2"/>
      <c r="F474" s="2"/>
      <c r="G474" s="2"/>
      <c r="H474" s="2"/>
      <c r="I474" s="19"/>
    </row>
    <row r="475" ht="15.75" customHeight="1">
      <c r="A475" s="2"/>
      <c r="B475" s="2"/>
      <c r="C475" s="30"/>
      <c r="D475" s="2"/>
      <c r="E475" s="2"/>
      <c r="F475" s="2"/>
      <c r="G475" s="2"/>
      <c r="H475" s="2"/>
      <c r="I475" s="19"/>
    </row>
    <row r="476" ht="15.75" customHeight="1">
      <c r="A476" s="2"/>
      <c r="B476" s="2"/>
      <c r="C476" s="30"/>
      <c r="D476" s="2"/>
      <c r="E476" s="2"/>
      <c r="F476" s="2"/>
      <c r="G476" s="2"/>
      <c r="H476" s="2"/>
      <c r="I476" s="19"/>
    </row>
    <row r="477" ht="15.75" customHeight="1">
      <c r="A477" s="2"/>
      <c r="B477" s="2"/>
      <c r="C477" s="30"/>
      <c r="D477" s="2"/>
      <c r="E477" s="2"/>
      <c r="F477" s="2"/>
      <c r="G477" s="2"/>
      <c r="H477" s="2"/>
      <c r="I477" s="19"/>
    </row>
    <row r="478" ht="15.75" customHeight="1">
      <c r="A478" s="2"/>
      <c r="B478" s="2"/>
      <c r="C478" s="30"/>
      <c r="D478" s="2"/>
      <c r="E478" s="2"/>
      <c r="F478" s="2"/>
      <c r="G478" s="2"/>
      <c r="H478" s="2"/>
      <c r="I478" s="19"/>
    </row>
    <row r="479" ht="15.75" customHeight="1">
      <c r="A479" s="2"/>
      <c r="B479" s="2"/>
      <c r="C479" s="30"/>
      <c r="D479" s="2"/>
      <c r="E479" s="2"/>
      <c r="F479" s="2"/>
      <c r="G479" s="2"/>
      <c r="H479" s="2"/>
      <c r="I479" s="19"/>
    </row>
    <row r="480" ht="15.75" customHeight="1">
      <c r="A480" s="2"/>
      <c r="B480" s="2"/>
      <c r="C480" s="30"/>
      <c r="D480" s="2"/>
      <c r="E480" s="2"/>
      <c r="F480" s="2"/>
      <c r="G480" s="2"/>
      <c r="H480" s="2"/>
      <c r="I480" s="19"/>
    </row>
    <row r="481" ht="15.75" customHeight="1">
      <c r="A481" s="2"/>
      <c r="B481" s="2"/>
      <c r="C481" s="30"/>
      <c r="D481" s="2"/>
      <c r="E481" s="2"/>
      <c r="F481" s="2"/>
      <c r="G481" s="2"/>
      <c r="H481" s="2"/>
      <c r="I481" s="19"/>
    </row>
    <row r="482" ht="15.75" customHeight="1">
      <c r="A482" s="2"/>
      <c r="B482" s="2"/>
      <c r="C482" s="30"/>
      <c r="D482" s="2"/>
      <c r="E482" s="2"/>
      <c r="F482" s="2"/>
      <c r="G482" s="2"/>
      <c r="H482" s="2"/>
      <c r="I482" s="19"/>
    </row>
    <row r="483" ht="15.75" customHeight="1">
      <c r="A483" s="2"/>
      <c r="B483" s="2"/>
      <c r="C483" s="30"/>
      <c r="D483" s="2"/>
      <c r="E483" s="2"/>
      <c r="F483" s="2"/>
      <c r="G483" s="2"/>
      <c r="H483" s="2"/>
      <c r="I483" s="19"/>
    </row>
    <row r="484" ht="15.75" customHeight="1">
      <c r="A484" s="2"/>
      <c r="B484" s="2"/>
      <c r="C484" s="30"/>
      <c r="D484" s="2"/>
      <c r="E484" s="2"/>
      <c r="F484" s="2"/>
      <c r="G484" s="2"/>
      <c r="H484" s="2"/>
      <c r="I484" s="19"/>
    </row>
    <row r="485" ht="15.75" customHeight="1">
      <c r="A485" s="2"/>
      <c r="B485" s="2"/>
      <c r="C485" s="30"/>
      <c r="D485" s="2"/>
      <c r="E485" s="2"/>
      <c r="F485" s="2"/>
      <c r="G485" s="2"/>
      <c r="H485" s="2"/>
      <c r="I485" s="19"/>
    </row>
    <row r="486" ht="15.75" customHeight="1">
      <c r="A486" s="2"/>
      <c r="B486" s="2"/>
      <c r="C486" s="30"/>
      <c r="D486" s="2"/>
      <c r="E486" s="2"/>
      <c r="F486" s="2"/>
      <c r="G486" s="2"/>
      <c r="H486" s="2"/>
      <c r="I486" s="19"/>
    </row>
    <row r="487" ht="15.75" customHeight="1">
      <c r="A487" s="2"/>
      <c r="B487" s="2"/>
      <c r="C487" s="30"/>
      <c r="D487" s="2"/>
      <c r="E487" s="2"/>
      <c r="F487" s="2"/>
      <c r="G487" s="2"/>
      <c r="H487" s="2"/>
      <c r="I487" s="19"/>
    </row>
    <row r="488" ht="15.75" customHeight="1">
      <c r="A488" s="2"/>
      <c r="B488" s="2"/>
      <c r="C488" s="30"/>
      <c r="D488" s="2"/>
      <c r="E488" s="2"/>
      <c r="F488" s="2"/>
      <c r="G488" s="2"/>
      <c r="H488" s="2"/>
      <c r="I488" s="19"/>
    </row>
    <row r="489" ht="15.75" customHeight="1">
      <c r="A489" s="2"/>
      <c r="B489" s="2"/>
      <c r="C489" s="30"/>
      <c r="D489" s="2"/>
      <c r="E489" s="2"/>
      <c r="F489" s="2"/>
      <c r="G489" s="2"/>
      <c r="H489" s="2"/>
      <c r="I489" s="19"/>
    </row>
    <row r="490" ht="15.75" customHeight="1">
      <c r="A490" s="2"/>
      <c r="B490" s="2"/>
      <c r="C490" s="30"/>
      <c r="D490" s="2"/>
      <c r="E490" s="2"/>
      <c r="F490" s="2"/>
      <c r="G490" s="2"/>
      <c r="H490" s="2"/>
      <c r="I490" s="19"/>
    </row>
    <row r="491" ht="15.75" customHeight="1">
      <c r="A491" s="2"/>
      <c r="B491" s="2"/>
      <c r="C491" s="30"/>
      <c r="D491" s="2"/>
      <c r="E491" s="2"/>
      <c r="F491" s="2"/>
      <c r="G491" s="2"/>
      <c r="H491" s="2"/>
      <c r="I491" s="19"/>
    </row>
    <row r="492" ht="15.75" customHeight="1">
      <c r="A492" s="2"/>
      <c r="B492" s="2"/>
      <c r="C492" s="30"/>
      <c r="D492" s="2"/>
      <c r="E492" s="2"/>
      <c r="F492" s="2"/>
      <c r="G492" s="2"/>
      <c r="H492" s="2"/>
      <c r="I492" s="19"/>
    </row>
    <row r="493" ht="15.75" customHeight="1">
      <c r="A493" s="2"/>
      <c r="B493" s="2"/>
      <c r="C493" s="30"/>
      <c r="D493" s="2"/>
      <c r="E493" s="2"/>
      <c r="F493" s="2"/>
      <c r="G493" s="2"/>
      <c r="H493" s="2"/>
      <c r="I493" s="19"/>
    </row>
    <row r="494" ht="15.75" customHeight="1">
      <c r="A494" s="2"/>
      <c r="B494" s="2"/>
      <c r="C494" s="30"/>
      <c r="D494" s="2"/>
      <c r="E494" s="2"/>
      <c r="F494" s="2"/>
      <c r="G494" s="2"/>
      <c r="H494" s="2"/>
      <c r="I494" s="19"/>
    </row>
    <row r="495" ht="15.75" customHeight="1">
      <c r="A495" s="2"/>
      <c r="B495" s="2"/>
      <c r="C495" s="30"/>
      <c r="D495" s="2"/>
      <c r="E495" s="2"/>
      <c r="F495" s="2"/>
      <c r="G495" s="2"/>
      <c r="H495" s="2"/>
      <c r="I495" s="19"/>
    </row>
    <row r="496" ht="15.75" customHeight="1">
      <c r="A496" s="2"/>
      <c r="B496" s="2"/>
      <c r="C496" s="30"/>
      <c r="D496" s="2"/>
      <c r="E496" s="2"/>
      <c r="F496" s="2"/>
      <c r="G496" s="2"/>
      <c r="H496" s="2"/>
      <c r="I496" s="19"/>
    </row>
    <row r="497" ht="15.75" customHeight="1">
      <c r="A497" s="2"/>
      <c r="B497" s="2"/>
      <c r="C497" s="30"/>
      <c r="D497" s="2"/>
      <c r="E497" s="2"/>
      <c r="F497" s="2"/>
      <c r="G497" s="2"/>
      <c r="H497" s="2"/>
      <c r="I497" s="19"/>
    </row>
    <row r="498" ht="15.75" customHeight="1">
      <c r="A498" s="2"/>
      <c r="B498" s="2"/>
      <c r="C498" s="30"/>
      <c r="D498" s="2"/>
      <c r="E498" s="2"/>
      <c r="F498" s="2"/>
      <c r="G498" s="2"/>
      <c r="H498" s="2"/>
      <c r="I498" s="19"/>
    </row>
    <row r="499" ht="15.75" customHeight="1">
      <c r="A499" s="2"/>
      <c r="B499" s="2"/>
      <c r="C499" s="30"/>
      <c r="D499" s="2"/>
      <c r="E499" s="2"/>
      <c r="F499" s="2"/>
      <c r="G499" s="2"/>
      <c r="H499" s="2"/>
      <c r="I499" s="19"/>
    </row>
    <row r="500" ht="15.75" customHeight="1">
      <c r="A500" s="2"/>
      <c r="B500" s="2"/>
      <c r="C500" s="30"/>
      <c r="D500" s="2"/>
      <c r="E500" s="2"/>
      <c r="F500" s="2"/>
      <c r="G500" s="2"/>
      <c r="H500" s="2"/>
      <c r="I500" s="19"/>
    </row>
    <row r="501" ht="15.75" customHeight="1">
      <c r="A501" s="2"/>
      <c r="B501" s="2"/>
      <c r="C501" s="30"/>
      <c r="D501" s="2"/>
      <c r="E501" s="2"/>
      <c r="F501" s="2"/>
      <c r="G501" s="2"/>
      <c r="H501" s="2"/>
      <c r="I501" s="19"/>
    </row>
    <row r="502" ht="15.75" customHeight="1">
      <c r="A502" s="2"/>
      <c r="B502" s="2"/>
      <c r="C502" s="30"/>
      <c r="D502" s="2"/>
      <c r="E502" s="2"/>
      <c r="F502" s="2"/>
      <c r="G502" s="2"/>
      <c r="H502" s="2"/>
      <c r="I502" s="19"/>
    </row>
    <row r="503" ht="15.75" customHeight="1">
      <c r="A503" s="2"/>
      <c r="B503" s="2"/>
      <c r="C503" s="30"/>
      <c r="D503" s="2"/>
      <c r="E503" s="2"/>
      <c r="F503" s="2"/>
      <c r="G503" s="2"/>
      <c r="H503" s="2"/>
      <c r="I503" s="19"/>
    </row>
    <row r="504" ht="15.75" customHeight="1">
      <c r="A504" s="2"/>
      <c r="B504" s="2"/>
      <c r="C504" s="30"/>
      <c r="D504" s="2"/>
      <c r="E504" s="2"/>
      <c r="F504" s="2"/>
      <c r="G504" s="2"/>
      <c r="H504" s="2"/>
      <c r="I504" s="19"/>
    </row>
    <row r="505" ht="15.75" customHeight="1">
      <c r="A505" s="2"/>
      <c r="B505" s="2"/>
      <c r="C505" s="30"/>
      <c r="D505" s="2"/>
      <c r="E505" s="2"/>
      <c r="F505" s="2"/>
      <c r="G505" s="2"/>
      <c r="H505" s="2"/>
      <c r="I505" s="19"/>
    </row>
    <row r="506" ht="15.75" customHeight="1">
      <c r="A506" s="2"/>
      <c r="B506" s="2"/>
      <c r="C506" s="30"/>
      <c r="D506" s="2"/>
      <c r="E506" s="2"/>
      <c r="F506" s="2"/>
      <c r="G506" s="2"/>
      <c r="H506" s="2"/>
      <c r="I506" s="19"/>
    </row>
    <row r="507" ht="15.75" customHeight="1">
      <c r="A507" s="2"/>
      <c r="B507" s="2"/>
      <c r="C507" s="30"/>
      <c r="D507" s="2"/>
      <c r="E507" s="2"/>
      <c r="F507" s="2"/>
      <c r="G507" s="2"/>
      <c r="H507" s="2"/>
      <c r="I507" s="19"/>
    </row>
    <row r="508" ht="15.75" customHeight="1">
      <c r="A508" s="2"/>
      <c r="B508" s="2"/>
      <c r="C508" s="30"/>
      <c r="D508" s="2"/>
      <c r="E508" s="2"/>
      <c r="F508" s="2"/>
      <c r="G508" s="2"/>
      <c r="H508" s="2"/>
      <c r="I508" s="19"/>
    </row>
    <row r="509" ht="15.75" customHeight="1">
      <c r="A509" s="2"/>
      <c r="B509" s="2"/>
      <c r="C509" s="30"/>
      <c r="D509" s="2"/>
      <c r="E509" s="2"/>
      <c r="F509" s="2"/>
      <c r="G509" s="2"/>
      <c r="H509" s="2"/>
      <c r="I509" s="19"/>
    </row>
    <row r="510" ht="15.75" customHeight="1">
      <c r="A510" s="2"/>
      <c r="B510" s="2"/>
      <c r="C510" s="30"/>
      <c r="D510" s="2"/>
      <c r="E510" s="2"/>
      <c r="F510" s="2"/>
      <c r="G510" s="2"/>
      <c r="H510" s="2"/>
      <c r="I510" s="19"/>
    </row>
    <row r="511" ht="15.75" customHeight="1">
      <c r="A511" s="2"/>
      <c r="B511" s="2"/>
      <c r="C511" s="30"/>
      <c r="D511" s="2"/>
      <c r="E511" s="2"/>
      <c r="F511" s="2"/>
      <c r="G511" s="2"/>
      <c r="H511" s="2"/>
      <c r="I511" s="19"/>
    </row>
    <row r="512" ht="15.75" customHeight="1">
      <c r="A512" s="2"/>
      <c r="B512" s="2"/>
      <c r="C512" s="30"/>
      <c r="D512" s="2"/>
      <c r="E512" s="2"/>
      <c r="F512" s="2"/>
      <c r="G512" s="2"/>
      <c r="H512" s="2"/>
      <c r="I512" s="19"/>
    </row>
    <row r="513" ht="15.75" customHeight="1">
      <c r="A513" s="2"/>
      <c r="B513" s="2"/>
      <c r="C513" s="30"/>
      <c r="D513" s="2"/>
      <c r="E513" s="2"/>
      <c r="F513" s="2"/>
      <c r="G513" s="2"/>
      <c r="H513" s="2"/>
      <c r="I513" s="19"/>
    </row>
    <row r="514" ht="15.75" customHeight="1">
      <c r="A514" s="2"/>
      <c r="B514" s="2"/>
      <c r="C514" s="30"/>
      <c r="D514" s="2"/>
      <c r="E514" s="2"/>
      <c r="F514" s="2"/>
      <c r="G514" s="2"/>
      <c r="H514" s="2"/>
      <c r="I514" s="19"/>
    </row>
    <row r="515" ht="15.75" customHeight="1">
      <c r="A515" s="2"/>
      <c r="B515" s="2"/>
      <c r="C515" s="30"/>
      <c r="D515" s="2"/>
      <c r="E515" s="2"/>
      <c r="F515" s="2"/>
      <c r="G515" s="2"/>
      <c r="H515" s="2"/>
      <c r="I515" s="19"/>
    </row>
    <row r="516" ht="15.75" customHeight="1">
      <c r="A516" s="2"/>
      <c r="B516" s="2"/>
      <c r="C516" s="30"/>
      <c r="D516" s="2"/>
      <c r="E516" s="2"/>
      <c r="F516" s="2"/>
      <c r="G516" s="2"/>
      <c r="H516" s="2"/>
      <c r="I516" s="19"/>
    </row>
    <row r="517" ht="15.75" customHeight="1">
      <c r="A517" s="2"/>
      <c r="B517" s="2"/>
      <c r="C517" s="30"/>
      <c r="D517" s="2"/>
      <c r="E517" s="2"/>
      <c r="F517" s="2"/>
      <c r="G517" s="2"/>
      <c r="H517" s="2"/>
      <c r="I517" s="19"/>
    </row>
    <row r="518" ht="15.75" customHeight="1">
      <c r="A518" s="2"/>
      <c r="B518" s="2"/>
      <c r="C518" s="30"/>
      <c r="D518" s="2"/>
      <c r="E518" s="2"/>
      <c r="F518" s="2"/>
      <c r="G518" s="2"/>
      <c r="H518" s="2"/>
      <c r="I518" s="19"/>
    </row>
    <row r="519" ht="15.75" customHeight="1">
      <c r="A519" s="2"/>
      <c r="B519" s="2"/>
      <c r="C519" s="30"/>
      <c r="D519" s="2"/>
      <c r="E519" s="2"/>
      <c r="F519" s="2"/>
      <c r="G519" s="2"/>
      <c r="H519" s="2"/>
      <c r="I519" s="19"/>
    </row>
    <row r="520" ht="15.75" customHeight="1">
      <c r="A520" s="2"/>
      <c r="B520" s="2"/>
      <c r="C520" s="30"/>
      <c r="D520" s="2"/>
      <c r="E520" s="2"/>
      <c r="F520" s="2"/>
      <c r="G520" s="2"/>
      <c r="H520" s="2"/>
      <c r="I520" s="19"/>
    </row>
    <row r="521" ht="15.75" customHeight="1">
      <c r="A521" s="2"/>
      <c r="B521" s="2"/>
      <c r="C521" s="30"/>
      <c r="D521" s="2"/>
      <c r="E521" s="2"/>
      <c r="F521" s="2"/>
      <c r="G521" s="2"/>
      <c r="H521" s="2"/>
      <c r="I521" s="19"/>
    </row>
    <row r="522" ht="15.75" customHeight="1">
      <c r="A522" s="2"/>
      <c r="B522" s="2"/>
      <c r="C522" s="30"/>
      <c r="D522" s="2"/>
      <c r="E522" s="2"/>
      <c r="F522" s="2"/>
      <c r="G522" s="2"/>
      <c r="H522" s="2"/>
      <c r="I522" s="19"/>
    </row>
    <row r="523" ht="15.75" customHeight="1">
      <c r="A523" s="2"/>
      <c r="B523" s="2"/>
      <c r="C523" s="30"/>
      <c r="D523" s="2"/>
      <c r="E523" s="2"/>
      <c r="F523" s="2"/>
      <c r="G523" s="2"/>
      <c r="H523" s="2"/>
      <c r="I523" s="19"/>
    </row>
    <row r="524" ht="15.75" customHeight="1">
      <c r="A524" s="2"/>
      <c r="B524" s="2"/>
      <c r="C524" s="30"/>
      <c r="D524" s="2"/>
      <c r="E524" s="2"/>
      <c r="F524" s="2"/>
      <c r="G524" s="2"/>
      <c r="H524" s="2"/>
      <c r="I524" s="19"/>
    </row>
    <row r="525" ht="15.75" customHeight="1">
      <c r="A525" s="2"/>
      <c r="B525" s="2"/>
      <c r="C525" s="30"/>
      <c r="D525" s="2"/>
      <c r="E525" s="2"/>
      <c r="F525" s="2"/>
      <c r="G525" s="2"/>
      <c r="H525" s="2"/>
      <c r="I525" s="19"/>
    </row>
    <row r="526" ht="15.75" customHeight="1">
      <c r="A526" s="2"/>
      <c r="B526" s="2"/>
      <c r="C526" s="30"/>
      <c r="D526" s="2"/>
      <c r="E526" s="2"/>
      <c r="F526" s="2"/>
      <c r="G526" s="2"/>
      <c r="H526" s="2"/>
      <c r="I526" s="19"/>
    </row>
    <row r="527" ht="15.75" customHeight="1">
      <c r="A527" s="2"/>
      <c r="B527" s="2"/>
      <c r="C527" s="30"/>
      <c r="D527" s="2"/>
      <c r="E527" s="2"/>
      <c r="F527" s="2"/>
      <c r="G527" s="2"/>
      <c r="H527" s="2"/>
      <c r="I527" s="19"/>
    </row>
    <row r="528" ht="15.75" customHeight="1">
      <c r="A528" s="2"/>
      <c r="B528" s="2"/>
      <c r="C528" s="30"/>
      <c r="D528" s="2"/>
      <c r="E528" s="2"/>
      <c r="F528" s="2"/>
      <c r="G528" s="2"/>
      <c r="H528" s="2"/>
      <c r="I528" s="19"/>
    </row>
    <row r="529" ht="15.75" customHeight="1">
      <c r="A529" s="2"/>
      <c r="B529" s="2"/>
      <c r="C529" s="30"/>
      <c r="D529" s="2"/>
      <c r="E529" s="2"/>
      <c r="F529" s="2"/>
      <c r="G529" s="2"/>
      <c r="H529" s="2"/>
      <c r="I529" s="19"/>
    </row>
    <row r="530" ht="15.75" customHeight="1">
      <c r="A530" s="2"/>
      <c r="B530" s="2"/>
      <c r="C530" s="30"/>
      <c r="D530" s="2"/>
      <c r="E530" s="2"/>
      <c r="F530" s="2"/>
      <c r="G530" s="2"/>
      <c r="H530" s="2"/>
      <c r="I530" s="19"/>
    </row>
    <row r="531" ht="15.75" customHeight="1">
      <c r="A531" s="2"/>
      <c r="B531" s="2"/>
      <c r="C531" s="30"/>
      <c r="D531" s="2"/>
      <c r="E531" s="2"/>
      <c r="F531" s="2"/>
      <c r="G531" s="2"/>
      <c r="H531" s="2"/>
      <c r="I531" s="19"/>
    </row>
    <row r="532" ht="15.75" customHeight="1">
      <c r="A532" s="2"/>
      <c r="B532" s="2"/>
      <c r="C532" s="30"/>
      <c r="D532" s="2"/>
      <c r="E532" s="2"/>
      <c r="F532" s="2"/>
      <c r="G532" s="2"/>
      <c r="H532" s="2"/>
      <c r="I532" s="19"/>
    </row>
    <row r="533" ht="15.75" customHeight="1">
      <c r="A533" s="2"/>
      <c r="B533" s="2"/>
      <c r="C533" s="30"/>
      <c r="D533" s="2"/>
      <c r="E533" s="2"/>
      <c r="F533" s="2"/>
      <c r="G533" s="2"/>
      <c r="H533" s="2"/>
      <c r="I533" s="19"/>
    </row>
    <row r="534" ht="15.75" customHeight="1">
      <c r="A534" s="2"/>
      <c r="B534" s="2"/>
      <c r="C534" s="30"/>
      <c r="D534" s="2"/>
      <c r="E534" s="2"/>
      <c r="F534" s="2"/>
      <c r="G534" s="2"/>
      <c r="H534" s="2"/>
      <c r="I534" s="19"/>
    </row>
    <row r="535" ht="15.75" customHeight="1">
      <c r="A535" s="2"/>
      <c r="B535" s="2"/>
      <c r="C535" s="30"/>
      <c r="D535" s="2"/>
      <c r="E535" s="2"/>
      <c r="F535" s="2"/>
      <c r="G535" s="2"/>
      <c r="H535" s="2"/>
      <c r="I535" s="19"/>
    </row>
    <row r="536" ht="15.75" customHeight="1">
      <c r="A536" s="2"/>
      <c r="B536" s="2"/>
      <c r="C536" s="30"/>
      <c r="D536" s="2"/>
      <c r="E536" s="2"/>
      <c r="F536" s="2"/>
      <c r="G536" s="2"/>
      <c r="H536" s="2"/>
      <c r="I536" s="19"/>
    </row>
    <row r="537" ht="15.75" customHeight="1">
      <c r="A537" s="2"/>
      <c r="B537" s="2"/>
      <c r="C537" s="30"/>
      <c r="D537" s="2"/>
      <c r="E537" s="2"/>
      <c r="F537" s="2"/>
      <c r="G537" s="2"/>
      <c r="H537" s="2"/>
      <c r="I537" s="19"/>
    </row>
    <row r="538" ht="15.75" customHeight="1">
      <c r="A538" s="2"/>
      <c r="B538" s="2"/>
      <c r="C538" s="30"/>
      <c r="D538" s="2"/>
      <c r="E538" s="2"/>
      <c r="F538" s="2"/>
      <c r="G538" s="2"/>
      <c r="H538" s="2"/>
      <c r="I538" s="19"/>
    </row>
    <row r="539" ht="15.75" customHeight="1">
      <c r="A539" s="2"/>
      <c r="B539" s="2"/>
      <c r="C539" s="30"/>
      <c r="D539" s="2"/>
      <c r="E539" s="2"/>
      <c r="F539" s="2"/>
      <c r="G539" s="2"/>
      <c r="H539" s="2"/>
      <c r="I539" s="19"/>
    </row>
    <row r="540" ht="15.75" customHeight="1">
      <c r="A540" s="2"/>
      <c r="B540" s="2"/>
      <c r="C540" s="30"/>
      <c r="D540" s="2"/>
      <c r="E540" s="2"/>
      <c r="F540" s="2"/>
      <c r="G540" s="2"/>
      <c r="H540" s="2"/>
      <c r="I540" s="19"/>
    </row>
    <row r="541" ht="15.75" customHeight="1">
      <c r="A541" s="2"/>
      <c r="B541" s="2"/>
      <c r="C541" s="30"/>
      <c r="D541" s="2"/>
      <c r="E541" s="2"/>
      <c r="F541" s="2"/>
      <c r="G541" s="2"/>
      <c r="H541" s="2"/>
      <c r="I541" s="19"/>
    </row>
    <row r="542" ht="15.75" customHeight="1">
      <c r="A542" s="2"/>
      <c r="B542" s="2"/>
      <c r="C542" s="30"/>
      <c r="D542" s="2"/>
      <c r="E542" s="2"/>
      <c r="F542" s="2"/>
      <c r="G542" s="2"/>
      <c r="H542" s="2"/>
      <c r="I542" s="19"/>
    </row>
    <row r="543" ht="15.75" customHeight="1">
      <c r="A543" s="2"/>
      <c r="B543" s="2"/>
      <c r="C543" s="30"/>
      <c r="D543" s="2"/>
      <c r="E543" s="2"/>
      <c r="F543" s="2"/>
      <c r="G543" s="2"/>
      <c r="H543" s="2"/>
      <c r="I543" s="19"/>
    </row>
    <row r="544" ht="15.75" customHeight="1">
      <c r="A544" s="2"/>
      <c r="B544" s="2"/>
      <c r="C544" s="30"/>
      <c r="D544" s="2"/>
      <c r="E544" s="2"/>
      <c r="F544" s="2"/>
      <c r="G544" s="2"/>
      <c r="H544" s="2"/>
      <c r="I544" s="19"/>
    </row>
    <row r="545" ht="15.75" customHeight="1">
      <c r="A545" s="2"/>
      <c r="B545" s="2"/>
      <c r="C545" s="30"/>
      <c r="D545" s="2"/>
      <c r="E545" s="2"/>
      <c r="F545" s="2"/>
      <c r="G545" s="2"/>
      <c r="H545" s="2"/>
      <c r="I545" s="19"/>
    </row>
    <row r="546" ht="15.75" customHeight="1">
      <c r="A546" s="2"/>
      <c r="B546" s="2"/>
      <c r="C546" s="30"/>
      <c r="D546" s="2"/>
      <c r="E546" s="2"/>
      <c r="F546" s="2"/>
      <c r="G546" s="2"/>
      <c r="H546" s="2"/>
      <c r="I546" s="19"/>
    </row>
    <row r="547" ht="15.75" customHeight="1">
      <c r="A547" s="2"/>
      <c r="B547" s="2"/>
      <c r="C547" s="30"/>
      <c r="D547" s="2"/>
      <c r="E547" s="2"/>
      <c r="F547" s="2"/>
      <c r="G547" s="2"/>
      <c r="H547" s="2"/>
      <c r="I547" s="19"/>
    </row>
    <row r="548" ht="15.75" customHeight="1">
      <c r="A548" s="2"/>
      <c r="B548" s="2"/>
      <c r="C548" s="30"/>
      <c r="D548" s="2"/>
      <c r="E548" s="2"/>
      <c r="F548" s="2"/>
      <c r="G548" s="2"/>
      <c r="H548" s="2"/>
      <c r="I548" s="19"/>
    </row>
    <row r="549" ht="15.75" customHeight="1">
      <c r="A549" s="2"/>
      <c r="B549" s="2"/>
      <c r="C549" s="30"/>
      <c r="D549" s="2"/>
      <c r="E549" s="2"/>
      <c r="F549" s="2"/>
      <c r="G549" s="2"/>
      <c r="H549" s="2"/>
      <c r="I549" s="19"/>
    </row>
    <row r="550" ht="15.75" customHeight="1">
      <c r="A550" s="2"/>
      <c r="B550" s="2"/>
      <c r="C550" s="30"/>
      <c r="D550" s="2"/>
      <c r="E550" s="2"/>
      <c r="F550" s="2"/>
      <c r="G550" s="2"/>
      <c r="H550" s="2"/>
      <c r="I550" s="19"/>
    </row>
    <row r="551" ht="15.75" customHeight="1">
      <c r="A551" s="2"/>
      <c r="B551" s="2"/>
      <c r="C551" s="30"/>
      <c r="D551" s="2"/>
      <c r="E551" s="2"/>
      <c r="F551" s="2"/>
      <c r="G551" s="2"/>
      <c r="H551" s="2"/>
      <c r="I551" s="19"/>
    </row>
    <row r="552" ht="15.75" customHeight="1">
      <c r="A552" s="2"/>
      <c r="B552" s="2"/>
      <c r="C552" s="30"/>
      <c r="D552" s="2"/>
      <c r="E552" s="2"/>
      <c r="F552" s="2"/>
      <c r="G552" s="2"/>
      <c r="H552" s="2"/>
      <c r="I552" s="19"/>
    </row>
    <row r="553" ht="15.75" customHeight="1">
      <c r="A553" s="2"/>
      <c r="B553" s="2"/>
      <c r="C553" s="30"/>
      <c r="D553" s="2"/>
      <c r="E553" s="2"/>
      <c r="F553" s="2"/>
      <c r="G553" s="2"/>
      <c r="H553" s="2"/>
      <c r="I553" s="19"/>
    </row>
    <row r="554" ht="15.75" customHeight="1">
      <c r="A554" s="2"/>
      <c r="B554" s="2"/>
      <c r="C554" s="30"/>
      <c r="D554" s="2"/>
      <c r="E554" s="2"/>
      <c r="F554" s="2"/>
      <c r="G554" s="2"/>
      <c r="H554" s="2"/>
      <c r="I554" s="19"/>
    </row>
    <row r="555" ht="15.75" customHeight="1">
      <c r="A555" s="2"/>
      <c r="B555" s="2"/>
      <c r="C555" s="30"/>
      <c r="D555" s="2"/>
      <c r="E555" s="2"/>
      <c r="F555" s="2"/>
      <c r="G555" s="2"/>
      <c r="H555" s="2"/>
      <c r="I555" s="19"/>
    </row>
    <row r="556" ht="15.75" customHeight="1">
      <c r="A556" s="2"/>
      <c r="B556" s="2"/>
      <c r="C556" s="30"/>
      <c r="D556" s="2"/>
      <c r="E556" s="2"/>
      <c r="F556" s="2"/>
      <c r="G556" s="2"/>
      <c r="H556" s="2"/>
      <c r="I556" s="19"/>
    </row>
    <row r="557" ht="15.75" customHeight="1">
      <c r="A557" s="2"/>
      <c r="B557" s="2"/>
      <c r="C557" s="30"/>
      <c r="D557" s="2"/>
      <c r="E557" s="2"/>
      <c r="F557" s="2"/>
      <c r="G557" s="2"/>
      <c r="H557" s="2"/>
      <c r="I557" s="19"/>
    </row>
    <row r="558" ht="15.75" customHeight="1">
      <c r="A558" s="2"/>
      <c r="B558" s="2"/>
      <c r="C558" s="30"/>
      <c r="D558" s="2"/>
      <c r="E558" s="2"/>
      <c r="F558" s="2"/>
      <c r="G558" s="2"/>
      <c r="H558" s="2"/>
      <c r="I558" s="19"/>
    </row>
    <row r="559" ht="15.75" customHeight="1">
      <c r="A559" s="2"/>
      <c r="B559" s="2"/>
      <c r="C559" s="30"/>
      <c r="D559" s="2"/>
      <c r="E559" s="2"/>
      <c r="F559" s="2"/>
      <c r="G559" s="2"/>
      <c r="H559" s="2"/>
      <c r="I559" s="19"/>
    </row>
    <row r="560" ht="15.75" customHeight="1">
      <c r="A560" s="2"/>
      <c r="B560" s="2"/>
      <c r="C560" s="30"/>
      <c r="D560" s="2"/>
      <c r="E560" s="2"/>
      <c r="F560" s="2"/>
      <c r="G560" s="2"/>
      <c r="H560" s="2"/>
      <c r="I560" s="19"/>
    </row>
    <row r="561" ht="15.75" customHeight="1">
      <c r="A561" s="2"/>
      <c r="B561" s="2"/>
      <c r="C561" s="30"/>
      <c r="D561" s="2"/>
      <c r="E561" s="2"/>
      <c r="F561" s="2"/>
      <c r="G561" s="2"/>
      <c r="H561" s="2"/>
      <c r="I561" s="19"/>
    </row>
    <row r="562" ht="15.75" customHeight="1">
      <c r="A562" s="2"/>
      <c r="B562" s="2"/>
      <c r="C562" s="30"/>
      <c r="D562" s="2"/>
      <c r="E562" s="2"/>
      <c r="F562" s="2"/>
      <c r="G562" s="2"/>
      <c r="H562" s="2"/>
      <c r="I562" s="19"/>
    </row>
    <row r="563" ht="15.75" customHeight="1">
      <c r="A563" s="2"/>
      <c r="B563" s="2"/>
      <c r="C563" s="30"/>
      <c r="D563" s="2"/>
      <c r="E563" s="2"/>
      <c r="F563" s="2"/>
      <c r="G563" s="2"/>
      <c r="H563" s="2"/>
      <c r="I563" s="19"/>
    </row>
    <row r="564" ht="15.75" customHeight="1">
      <c r="A564" s="2"/>
      <c r="B564" s="2"/>
      <c r="C564" s="30"/>
      <c r="D564" s="2"/>
      <c r="E564" s="2"/>
      <c r="F564" s="2"/>
      <c r="G564" s="2"/>
      <c r="H564" s="2"/>
      <c r="I564" s="19"/>
    </row>
    <row r="565" ht="15.75" customHeight="1">
      <c r="A565" s="2"/>
      <c r="B565" s="2"/>
      <c r="C565" s="30"/>
      <c r="D565" s="2"/>
      <c r="E565" s="2"/>
      <c r="F565" s="2"/>
      <c r="G565" s="2"/>
      <c r="H565" s="2"/>
      <c r="I565" s="19"/>
    </row>
    <row r="566" ht="15.75" customHeight="1">
      <c r="A566" s="2"/>
      <c r="B566" s="2"/>
      <c r="C566" s="30"/>
      <c r="D566" s="2"/>
      <c r="E566" s="2"/>
      <c r="F566" s="2"/>
      <c r="G566" s="2"/>
      <c r="H566" s="2"/>
      <c r="I566" s="19"/>
    </row>
    <row r="567" ht="15.75" customHeight="1">
      <c r="A567" s="2"/>
      <c r="B567" s="2"/>
      <c r="C567" s="30"/>
      <c r="D567" s="2"/>
      <c r="E567" s="2"/>
      <c r="F567" s="2"/>
      <c r="G567" s="2"/>
      <c r="H567" s="2"/>
      <c r="I567" s="19"/>
    </row>
    <row r="568" ht="15.75" customHeight="1">
      <c r="A568" s="2"/>
      <c r="B568" s="2"/>
      <c r="C568" s="30"/>
      <c r="D568" s="2"/>
      <c r="E568" s="2"/>
      <c r="F568" s="2"/>
      <c r="G568" s="2"/>
      <c r="H568" s="2"/>
      <c r="I568" s="19"/>
    </row>
    <row r="569" ht="15.75" customHeight="1">
      <c r="A569" s="2"/>
      <c r="B569" s="2"/>
      <c r="C569" s="30"/>
      <c r="D569" s="2"/>
      <c r="E569" s="2"/>
      <c r="F569" s="2"/>
      <c r="G569" s="2"/>
      <c r="H569" s="2"/>
      <c r="I569" s="19"/>
    </row>
    <row r="570" ht="15.75" customHeight="1">
      <c r="A570" s="2"/>
      <c r="B570" s="2"/>
      <c r="C570" s="30"/>
      <c r="D570" s="2"/>
      <c r="E570" s="2"/>
      <c r="F570" s="2"/>
      <c r="G570" s="2"/>
      <c r="H570" s="2"/>
      <c r="I570" s="19"/>
    </row>
    <row r="571" ht="15.75" customHeight="1">
      <c r="A571" s="2"/>
      <c r="B571" s="2"/>
      <c r="C571" s="30"/>
      <c r="D571" s="2"/>
      <c r="E571" s="2"/>
      <c r="F571" s="2"/>
      <c r="G571" s="2"/>
      <c r="H571" s="2"/>
      <c r="I571" s="19"/>
    </row>
    <row r="572" ht="15.75" customHeight="1">
      <c r="A572" s="2"/>
      <c r="B572" s="2"/>
      <c r="C572" s="30"/>
      <c r="D572" s="2"/>
      <c r="E572" s="2"/>
      <c r="F572" s="2"/>
      <c r="G572" s="2"/>
      <c r="H572" s="2"/>
      <c r="I572" s="19"/>
    </row>
    <row r="573" ht="15.75" customHeight="1">
      <c r="A573" s="2"/>
      <c r="B573" s="2"/>
      <c r="C573" s="30"/>
      <c r="D573" s="2"/>
      <c r="E573" s="2"/>
      <c r="F573" s="2"/>
      <c r="G573" s="2"/>
      <c r="H573" s="2"/>
      <c r="I573" s="19"/>
    </row>
    <row r="574" ht="15.75" customHeight="1">
      <c r="A574" s="2"/>
      <c r="B574" s="2"/>
      <c r="C574" s="30"/>
      <c r="D574" s="2"/>
      <c r="E574" s="2"/>
      <c r="F574" s="2"/>
      <c r="G574" s="2"/>
      <c r="H574" s="2"/>
      <c r="I574" s="19"/>
    </row>
    <row r="575" ht="15.75" customHeight="1">
      <c r="A575" s="2"/>
      <c r="B575" s="2"/>
      <c r="C575" s="30"/>
      <c r="D575" s="2"/>
      <c r="E575" s="2"/>
      <c r="F575" s="2"/>
      <c r="G575" s="2"/>
      <c r="H575" s="2"/>
      <c r="I575" s="19"/>
    </row>
    <row r="576" ht="15.75" customHeight="1">
      <c r="A576" s="2"/>
      <c r="B576" s="2"/>
      <c r="C576" s="30"/>
      <c r="D576" s="2"/>
      <c r="E576" s="2"/>
      <c r="F576" s="2"/>
      <c r="G576" s="2"/>
      <c r="H576" s="2"/>
      <c r="I576" s="19"/>
    </row>
    <row r="577" ht="15.75" customHeight="1">
      <c r="A577" s="2"/>
      <c r="B577" s="2"/>
      <c r="C577" s="30"/>
      <c r="D577" s="2"/>
      <c r="E577" s="2"/>
      <c r="F577" s="2"/>
      <c r="G577" s="2"/>
      <c r="H577" s="2"/>
      <c r="I577" s="19"/>
    </row>
    <row r="578" ht="15.75" customHeight="1">
      <c r="A578" s="2"/>
      <c r="B578" s="2"/>
      <c r="C578" s="30"/>
      <c r="D578" s="2"/>
      <c r="E578" s="2"/>
      <c r="F578" s="2"/>
      <c r="G578" s="2"/>
      <c r="H578" s="2"/>
      <c r="I578" s="19"/>
    </row>
    <row r="579" ht="15.75" customHeight="1">
      <c r="A579" s="2"/>
      <c r="B579" s="2"/>
      <c r="C579" s="30"/>
      <c r="D579" s="2"/>
      <c r="E579" s="2"/>
      <c r="F579" s="2"/>
      <c r="G579" s="2"/>
      <c r="H579" s="2"/>
      <c r="I579" s="19"/>
    </row>
    <row r="580" ht="15.75" customHeight="1">
      <c r="A580" s="2"/>
      <c r="B580" s="2"/>
      <c r="C580" s="30"/>
      <c r="D580" s="2"/>
      <c r="E580" s="2"/>
      <c r="F580" s="2"/>
      <c r="G580" s="2"/>
      <c r="H580" s="2"/>
      <c r="I580" s="19"/>
    </row>
    <row r="581" ht="15.75" customHeight="1">
      <c r="A581" s="2"/>
      <c r="B581" s="2"/>
      <c r="C581" s="30"/>
      <c r="D581" s="2"/>
      <c r="E581" s="2"/>
      <c r="F581" s="2"/>
      <c r="G581" s="2"/>
      <c r="H581" s="2"/>
      <c r="I581" s="19"/>
    </row>
    <row r="582" ht="15.75" customHeight="1">
      <c r="A582" s="2"/>
      <c r="B582" s="2"/>
      <c r="C582" s="30"/>
      <c r="D582" s="2"/>
      <c r="E582" s="2"/>
      <c r="F582" s="2"/>
      <c r="G582" s="2"/>
      <c r="H582" s="2"/>
      <c r="I582" s="19"/>
    </row>
    <row r="583" ht="15.75" customHeight="1">
      <c r="A583" s="2"/>
      <c r="B583" s="2"/>
      <c r="C583" s="30"/>
      <c r="D583" s="2"/>
      <c r="E583" s="2"/>
      <c r="F583" s="2"/>
      <c r="G583" s="2"/>
      <c r="H583" s="2"/>
      <c r="I583" s="19"/>
    </row>
    <row r="584" ht="15.75" customHeight="1">
      <c r="A584" s="2"/>
      <c r="B584" s="2"/>
      <c r="C584" s="30"/>
      <c r="D584" s="2"/>
      <c r="E584" s="2"/>
      <c r="F584" s="2"/>
      <c r="G584" s="2"/>
      <c r="H584" s="2"/>
      <c r="I584" s="19"/>
    </row>
    <row r="585" ht="15.75" customHeight="1">
      <c r="A585" s="2"/>
      <c r="B585" s="2"/>
      <c r="C585" s="30"/>
      <c r="D585" s="2"/>
      <c r="E585" s="2"/>
      <c r="F585" s="2"/>
      <c r="G585" s="2"/>
      <c r="H585" s="2"/>
      <c r="I585" s="19"/>
    </row>
    <row r="586" ht="15.75" customHeight="1">
      <c r="A586" s="2"/>
      <c r="B586" s="2"/>
      <c r="C586" s="30"/>
      <c r="D586" s="2"/>
      <c r="E586" s="2"/>
      <c r="F586" s="2"/>
      <c r="G586" s="2"/>
      <c r="H586" s="2"/>
      <c r="I586" s="19"/>
    </row>
    <row r="587" ht="15.75" customHeight="1">
      <c r="A587" s="2"/>
      <c r="B587" s="2"/>
      <c r="C587" s="30"/>
      <c r="D587" s="2"/>
      <c r="E587" s="2"/>
      <c r="F587" s="2"/>
      <c r="G587" s="2"/>
      <c r="H587" s="2"/>
      <c r="I587" s="19"/>
    </row>
    <row r="588" ht="15.75" customHeight="1">
      <c r="A588" s="2"/>
      <c r="B588" s="2"/>
      <c r="C588" s="30"/>
      <c r="D588" s="2"/>
      <c r="E588" s="2"/>
      <c r="F588" s="2"/>
      <c r="G588" s="2"/>
      <c r="H588" s="2"/>
      <c r="I588" s="19"/>
    </row>
    <row r="589" ht="15.75" customHeight="1">
      <c r="A589" s="2"/>
      <c r="B589" s="2"/>
      <c r="C589" s="30"/>
      <c r="D589" s="2"/>
      <c r="E589" s="2"/>
      <c r="F589" s="2"/>
      <c r="G589" s="2"/>
      <c r="H589" s="2"/>
      <c r="I589" s="19"/>
    </row>
    <row r="590" ht="15.75" customHeight="1">
      <c r="A590" s="2"/>
      <c r="B590" s="2"/>
      <c r="C590" s="30"/>
      <c r="D590" s="2"/>
      <c r="E590" s="2"/>
      <c r="F590" s="2"/>
      <c r="G590" s="2"/>
      <c r="H590" s="2"/>
      <c r="I590" s="19"/>
    </row>
    <row r="591" ht="15.75" customHeight="1">
      <c r="A591" s="2"/>
      <c r="B591" s="2"/>
      <c r="C591" s="30"/>
      <c r="D591" s="2"/>
      <c r="E591" s="2"/>
      <c r="F591" s="2"/>
      <c r="G591" s="2"/>
      <c r="H591" s="2"/>
      <c r="I591" s="19"/>
    </row>
    <row r="592" ht="15.75" customHeight="1">
      <c r="A592" s="2"/>
      <c r="B592" s="2"/>
      <c r="C592" s="30"/>
      <c r="D592" s="2"/>
      <c r="E592" s="2"/>
      <c r="F592" s="2"/>
      <c r="G592" s="2"/>
      <c r="H592" s="2"/>
      <c r="I592" s="19"/>
    </row>
    <row r="593" ht="15.75" customHeight="1">
      <c r="A593" s="2"/>
      <c r="B593" s="2"/>
      <c r="C593" s="30"/>
      <c r="D593" s="2"/>
      <c r="E593" s="2"/>
      <c r="F593" s="2"/>
      <c r="G593" s="2"/>
      <c r="H593" s="2"/>
      <c r="I593" s="19"/>
    </row>
    <row r="594" ht="15.75" customHeight="1">
      <c r="A594" s="2"/>
      <c r="B594" s="2"/>
      <c r="C594" s="30"/>
      <c r="D594" s="2"/>
      <c r="E594" s="2"/>
      <c r="F594" s="2"/>
      <c r="G594" s="2"/>
      <c r="H594" s="2"/>
      <c r="I594" s="19"/>
    </row>
    <row r="595" ht="15.75" customHeight="1">
      <c r="A595" s="2"/>
      <c r="B595" s="2"/>
      <c r="C595" s="30"/>
      <c r="D595" s="2"/>
      <c r="E595" s="2"/>
      <c r="F595" s="2"/>
      <c r="G595" s="2"/>
      <c r="H595" s="2"/>
      <c r="I595" s="19"/>
    </row>
    <row r="596" ht="15.75" customHeight="1">
      <c r="A596" s="2"/>
      <c r="B596" s="2"/>
      <c r="C596" s="30"/>
      <c r="D596" s="2"/>
      <c r="E596" s="2"/>
      <c r="F596" s="2"/>
      <c r="G596" s="2"/>
      <c r="H596" s="2"/>
      <c r="I596" s="19"/>
    </row>
    <row r="597" ht="15.75" customHeight="1">
      <c r="A597" s="2"/>
      <c r="B597" s="2"/>
      <c r="C597" s="30"/>
      <c r="D597" s="2"/>
      <c r="E597" s="2"/>
      <c r="F597" s="2"/>
      <c r="G597" s="2"/>
      <c r="H597" s="2"/>
      <c r="I597" s="19"/>
    </row>
    <row r="598" ht="15.75" customHeight="1">
      <c r="A598" s="2"/>
      <c r="B598" s="2"/>
      <c r="C598" s="30"/>
      <c r="D598" s="2"/>
      <c r="E598" s="2"/>
      <c r="F598" s="2"/>
      <c r="G598" s="2"/>
      <c r="H598" s="2"/>
      <c r="I598" s="19"/>
    </row>
    <row r="599" ht="15.75" customHeight="1">
      <c r="A599" s="2"/>
      <c r="B599" s="2"/>
      <c r="C599" s="30"/>
      <c r="D599" s="2"/>
      <c r="E599" s="2"/>
      <c r="F599" s="2"/>
      <c r="G599" s="2"/>
      <c r="H599" s="2"/>
      <c r="I599" s="19"/>
    </row>
    <row r="600" ht="15.75" customHeight="1">
      <c r="A600" s="2"/>
      <c r="B600" s="2"/>
      <c r="C600" s="30"/>
      <c r="D600" s="2"/>
      <c r="E600" s="2"/>
      <c r="F600" s="2"/>
      <c r="G600" s="2"/>
      <c r="H600" s="2"/>
      <c r="I600" s="19"/>
    </row>
    <row r="601" ht="15.75" customHeight="1">
      <c r="A601" s="2"/>
      <c r="B601" s="2"/>
      <c r="C601" s="30"/>
      <c r="D601" s="2"/>
      <c r="E601" s="2"/>
      <c r="F601" s="2"/>
      <c r="G601" s="2"/>
      <c r="H601" s="2"/>
      <c r="I601" s="19"/>
    </row>
    <row r="602" ht="15.75" customHeight="1">
      <c r="A602" s="2"/>
      <c r="B602" s="2"/>
      <c r="C602" s="30"/>
      <c r="D602" s="2"/>
      <c r="E602" s="2"/>
      <c r="F602" s="2"/>
      <c r="G602" s="2"/>
      <c r="H602" s="2"/>
      <c r="I602" s="19"/>
    </row>
    <row r="603" ht="15.75" customHeight="1">
      <c r="A603" s="2"/>
      <c r="B603" s="2"/>
      <c r="C603" s="30"/>
      <c r="D603" s="2"/>
      <c r="E603" s="2"/>
      <c r="F603" s="2"/>
      <c r="G603" s="2"/>
      <c r="H603" s="2"/>
      <c r="I603" s="19"/>
    </row>
    <row r="604" ht="15.75" customHeight="1">
      <c r="A604" s="2"/>
      <c r="B604" s="2"/>
      <c r="C604" s="30"/>
      <c r="D604" s="2"/>
      <c r="E604" s="2"/>
      <c r="F604" s="2"/>
      <c r="G604" s="2"/>
      <c r="H604" s="2"/>
      <c r="I604" s="19"/>
    </row>
    <row r="605" ht="15.75" customHeight="1">
      <c r="A605" s="2"/>
      <c r="B605" s="2"/>
      <c r="C605" s="30"/>
      <c r="D605" s="2"/>
      <c r="E605" s="2"/>
      <c r="F605" s="2"/>
      <c r="G605" s="2"/>
      <c r="H605" s="2"/>
      <c r="I605" s="19"/>
    </row>
    <row r="606" ht="15.75" customHeight="1">
      <c r="A606" s="2"/>
      <c r="B606" s="2"/>
      <c r="C606" s="30"/>
      <c r="D606" s="2"/>
      <c r="E606" s="2"/>
      <c r="F606" s="2"/>
      <c r="G606" s="2"/>
      <c r="H606" s="2"/>
      <c r="I606" s="19"/>
    </row>
    <row r="607" ht="15.75" customHeight="1">
      <c r="A607" s="2"/>
      <c r="B607" s="2"/>
      <c r="C607" s="30"/>
      <c r="D607" s="2"/>
      <c r="E607" s="2"/>
      <c r="F607" s="2"/>
      <c r="G607" s="2"/>
      <c r="H607" s="2"/>
      <c r="I607" s="19"/>
    </row>
    <row r="608" ht="15.75" customHeight="1">
      <c r="A608" s="2"/>
      <c r="B608" s="2"/>
      <c r="C608" s="30"/>
      <c r="D608" s="2"/>
      <c r="E608" s="2"/>
      <c r="F608" s="2"/>
      <c r="G608" s="2"/>
      <c r="H608" s="2"/>
      <c r="I608" s="19"/>
    </row>
    <row r="609" ht="15.75" customHeight="1">
      <c r="A609" s="2"/>
      <c r="B609" s="2"/>
      <c r="C609" s="30"/>
      <c r="D609" s="2"/>
      <c r="E609" s="2"/>
      <c r="F609" s="2"/>
      <c r="G609" s="2"/>
      <c r="H609" s="2"/>
      <c r="I609" s="19"/>
    </row>
    <row r="610" ht="15.75" customHeight="1">
      <c r="A610" s="2"/>
      <c r="B610" s="2"/>
      <c r="C610" s="30"/>
      <c r="D610" s="2"/>
      <c r="E610" s="2"/>
      <c r="F610" s="2"/>
      <c r="G610" s="2"/>
      <c r="H610" s="2"/>
      <c r="I610" s="19"/>
    </row>
    <row r="611" ht="15.75" customHeight="1">
      <c r="A611" s="2"/>
      <c r="B611" s="2"/>
      <c r="C611" s="30"/>
      <c r="D611" s="2"/>
      <c r="E611" s="2"/>
      <c r="F611" s="2"/>
      <c r="G611" s="2"/>
      <c r="H611" s="2"/>
      <c r="I611" s="19"/>
    </row>
    <row r="612" ht="15.75" customHeight="1">
      <c r="A612" s="2"/>
      <c r="B612" s="2"/>
      <c r="C612" s="30"/>
      <c r="D612" s="2"/>
      <c r="E612" s="2"/>
      <c r="F612" s="2"/>
      <c r="G612" s="2"/>
      <c r="H612" s="2"/>
      <c r="I612" s="19"/>
    </row>
    <row r="613" ht="15.75" customHeight="1">
      <c r="A613" s="2"/>
      <c r="B613" s="2"/>
      <c r="C613" s="30"/>
      <c r="D613" s="2"/>
      <c r="E613" s="2"/>
      <c r="F613" s="2"/>
      <c r="G613" s="2"/>
      <c r="H613" s="2"/>
      <c r="I613" s="19"/>
    </row>
    <row r="614" ht="15.75" customHeight="1">
      <c r="A614" s="2"/>
      <c r="B614" s="2"/>
      <c r="C614" s="30"/>
      <c r="D614" s="2"/>
      <c r="E614" s="2"/>
      <c r="F614" s="2"/>
      <c r="G614" s="2"/>
      <c r="H614" s="2"/>
      <c r="I614" s="19"/>
    </row>
    <row r="615" ht="15.75" customHeight="1">
      <c r="A615" s="2"/>
      <c r="B615" s="2"/>
      <c r="C615" s="30"/>
      <c r="D615" s="2"/>
      <c r="E615" s="2"/>
      <c r="F615" s="2"/>
      <c r="G615" s="2"/>
      <c r="H615" s="2"/>
      <c r="I615" s="19"/>
    </row>
    <row r="616" ht="15.75" customHeight="1">
      <c r="A616" s="2"/>
      <c r="B616" s="2"/>
      <c r="C616" s="30"/>
      <c r="D616" s="2"/>
      <c r="E616" s="2"/>
      <c r="F616" s="2"/>
      <c r="G616" s="2"/>
      <c r="H616" s="2"/>
      <c r="I616" s="19"/>
    </row>
    <row r="617" ht="15.75" customHeight="1">
      <c r="A617" s="2"/>
      <c r="B617" s="2"/>
      <c r="C617" s="30"/>
      <c r="D617" s="2"/>
      <c r="E617" s="2"/>
      <c r="F617" s="2"/>
      <c r="G617" s="2"/>
      <c r="H617" s="2"/>
      <c r="I617" s="19"/>
    </row>
    <row r="618" ht="15.75" customHeight="1">
      <c r="A618" s="2"/>
      <c r="B618" s="2"/>
      <c r="C618" s="30"/>
      <c r="D618" s="2"/>
      <c r="E618" s="2"/>
      <c r="F618" s="2"/>
      <c r="G618" s="2"/>
      <c r="H618" s="2"/>
      <c r="I618" s="19"/>
    </row>
    <row r="619" ht="15.75" customHeight="1">
      <c r="A619" s="2"/>
      <c r="B619" s="2"/>
      <c r="C619" s="30"/>
      <c r="D619" s="2"/>
      <c r="E619" s="2"/>
      <c r="F619" s="2"/>
      <c r="G619" s="2"/>
      <c r="H619" s="2"/>
      <c r="I619" s="19"/>
    </row>
    <row r="620" ht="15.75" customHeight="1">
      <c r="A620" s="2"/>
      <c r="B620" s="2"/>
      <c r="C620" s="30"/>
      <c r="D620" s="2"/>
      <c r="E620" s="2"/>
      <c r="F620" s="2"/>
      <c r="G620" s="2"/>
      <c r="H620" s="2"/>
      <c r="I620" s="19"/>
    </row>
    <row r="621" ht="15.75" customHeight="1">
      <c r="A621" s="2"/>
      <c r="B621" s="2"/>
      <c r="C621" s="30"/>
      <c r="D621" s="2"/>
      <c r="E621" s="2"/>
      <c r="F621" s="2"/>
      <c r="G621" s="2"/>
      <c r="H621" s="2"/>
      <c r="I621" s="19"/>
    </row>
    <row r="622" ht="15.75" customHeight="1">
      <c r="A622" s="2"/>
      <c r="B622" s="2"/>
      <c r="C622" s="30"/>
      <c r="D622" s="2"/>
      <c r="E622" s="2"/>
      <c r="F622" s="2"/>
      <c r="G622" s="2"/>
      <c r="H622" s="2"/>
      <c r="I622" s="19"/>
    </row>
    <row r="623" ht="15.75" customHeight="1">
      <c r="A623" s="2"/>
      <c r="B623" s="2"/>
      <c r="C623" s="30"/>
      <c r="D623" s="2"/>
      <c r="E623" s="2"/>
      <c r="F623" s="2"/>
      <c r="G623" s="2"/>
      <c r="H623" s="2"/>
      <c r="I623" s="19"/>
    </row>
    <row r="624" ht="15.75" customHeight="1">
      <c r="A624" s="2"/>
      <c r="B624" s="2"/>
      <c r="C624" s="30"/>
      <c r="D624" s="2"/>
      <c r="E624" s="2"/>
      <c r="F624" s="2"/>
      <c r="G624" s="2"/>
      <c r="H624" s="2"/>
      <c r="I624" s="19"/>
    </row>
    <row r="625" ht="15.75" customHeight="1">
      <c r="A625" s="2"/>
      <c r="B625" s="2"/>
      <c r="C625" s="30"/>
      <c r="D625" s="2"/>
      <c r="E625" s="2"/>
      <c r="F625" s="2"/>
      <c r="G625" s="2"/>
      <c r="H625" s="2"/>
      <c r="I625" s="19"/>
    </row>
    <row r="626" ht="15.75" customHeight="1">
      <c r="A626" s="2"/>
      <c r="B626" s="2"/>
      <c r="C626" s="30"/>
      <c r="D626" s="2"/>
      <c r="E626" s="2"/>
      <c r="F626" s="2"/>
      <c r="G626" s="2"/>
      <c r="H626" s="2"/>
      <c r="I626" s="19"/>
    </row>
    <row r="627" ht="15.75" customHeight="1">
      <c r="A627" s="2"/>
      <c r="B627" s="2"/>
      <c r="C627" s="30"/>
      <c r="D627" s="2"/>
      <c r="E627" s="2"/>
      <c r="F627" s="2"/>
      <c r="G627" s="2"/>
      <c r="H627" s="2"/>
      <c r="I627" s="19"/>
    </row>
    <row r="628" ht="15.75" customHeight="1">
      <c r="A628" s="2"/>
      <c r="B628" s="2"/>
      <c r="C628" s="30"/>
      <c r="D628" s="2"/>
      <c r="E628" s="2"/>
      <c r="F628" s="2"/>
      <c r="G628" s="2"/>
      <c r="H628" s="2"/>
      <c r="I628" s="19"/>
    </row>
    <row r="629" ht="15.75" customHeight="1">
      <c r="A629" s="2"/>
      <c r="B629" s="2"/>
      <c r="C629" s="30"/>
      <c r="D629" s="2"/>
      <c r="E629" s="2"/>
      <c r="F629" s="2"/>
      <c r="G629" s="2"/>
      <c r="H629" s="2"/>
      <c r="I629" s="19"/>
    </row>
    <row r="630" ht="15.75" customHeight="1">
      <c r="A630" s="2"/>
      <c r="B630" s="2"/>
      <c r="C630" s="30"/>
      <c r="D630" s="2"/>
      <c r="E630" s="2"/>
      <c r="F630" s="2"/>
      <c r="G630" s="2"/>
      <c r="H630" s="2"/>
      <c r="I630" s="19"/>
    </row>
    <row r="631" ht="15.75" customHeight="1">
      <c r="A631" s="2"/>
      <c r="B631" s="2"/>
      <c r="C631" s="30"/>
      <c r="D631" s="2"/>
      <c r="E631" s="2"/>
      <c r="F631" s="2"/>
      <c r="G631" s="2"/>
      <c r="H631" s="2"/>
      <c r="I631" s="19"/>
    </row>
    <row r="632" ht="15.75" customHeight="1">
      <c r="A632" s="2"/>
      <c r="B632" s="2"/>
      <c r="C632" s="30"/>
      <c r="D632" s="2"/>
      <c r="E632" s="2"/>
      <c r="F632" s="2"/>
      <c r="G632" s="2"/>
      <c r="H632" s="2"/>
      <c r="I632" s="19"/>
    </row>
    <row r="633" ht="15.75" customHeight="1">
      <c r="A633" s="2"/>
      <c r="B633" s="2"/>
      <c r="C633" s="30"/>
      <c r="D633" s="2"/>
      <c r="E633" s="2"/>
      <c r="F633" s="2"/>
      <c r="G633" s="2"/>
      <c r="H633" s="2"/>
      <c r="I633" s="19"/>
    </row>
    <row r="634" ht="15.75" customHeight="1">
      <c r="A634" s="2"/>
      <c r="B634" s="2"/>
      <c r="C634" s="30"/>
      <c r="D634" s="2"/>
      <c r="E634" s="2"/>
      <c r="F634" s="2"/>
      <c r="G634" s="2"/>
      <c r="H634" s="2"/>
      <c r="I634" s="19"/>
    </row>
    <row r="635" ht="15.75" customHeight="1">
      <c r="A635" s="2"/>
      <c r="B635" s="2"/>
      <c r="C635" s="30"/>
      <c r="D635" s="2"/>
      <c r="E635" s="2"/>
      <c r="F635" s="2"/>
      <c r="G635" s="2"/>
      <c r="H635" s="2"/>
      <c r="I635" s="19"/>
    </row>
    <row r="636" ht="15.75" customHeight="1">
      <c r="A636" s="2"/>
      <c r="B636" s="2"/>
      <c r="C636" s="30"/>
      <c r="D636" s="2"/>
      <c r="E636" s="2"/>
      <c r="F636" s="2"/>
      <c r="G636" s="2"/>
      <c r="H636" s="2"/>
      <c r="I636" s="19"/>
    </row>
    <row r="637" ht="15.75" customHeight="1">
      <c r="A637" s="2"/>
      <c r="B637" s="2"/>
      <c r="C637" s="30"/>
      <c r="D637" s="2"/>
      <c r="E637" s="2"/>
      <c r="F637" s="2"/>
      <c r="G637" s="2"/>
      <c r="H637" s="2"/>
      <c r="I637" s="19"/>
    </row>
    <row r="638" ht="15.75" customHeight="1">
      <c r="A638" s="2"/>
      <c r="B638" s="2"/>
      <c r="C638" s="30"/>
      <c r="D638" s="2"/>
      <c r="E638" s="2"/>
      <c r="F638" s="2"/>
      <c r="G638" s="2"/>
      <c r="H638" s="2"/>
      <c r="I638" s="19"/>
    </row>
    <row r="639" ht="15.75" customHeight="1">
      <c r="A639" s="2"/>
      <c r="B639" s="2"/>
      <c r="C639" s="30"/>
      <c r="D639" s="2"/>
      <c r="E639" s="2"/>
      <c r="F639" s="2"/>
      <c r="G639" s="2"/>
      <c r="H639" s="2"/>
      <c r="I639" s="19"/>
    </row>
    <row r="640" ht="15.75" customHeight="1">
      <c r="A640" s="2"/>
      <c r="B640" s="2"/>
      <c r="C640" s="30"/>
      <c r="D640" s="2"/>
      <c r="E640" s="2"/>
      <c r="F640" s="2"/>
      <c r="G640" s="2"/>
      <c r="H640" s="2"/>
      <c r="I640" s="19"/>
    </row>
    <row r="641" ht="15.75" customHeight="1">
      <c r="A641" s="2"/>
      <c r="B641" s="2"/>
      <c r="C641" s="30"/>
      <c r="D641" s="2"/>
      <c r="E641" s="2"/>
      <c r="F641" s="2"/>
      <c r="G641" s="2"/>
      <c r="H641" s="2"/>
      <c r="I641" s="19"/>
    </row>
    <row r="642" ht="15.75" customHeight="1">
      <c r="A642" s="2"/>
      <c r="B642" s="2"/>
      <c r="C642" s="30"/>
      <c r="D642" s="2"/>
      <c r="E642" s="2"/>
      <c r="F642" s="2"/>
      <c r="G642" s="2"/>
      <c r="H642" s="2"/>
      <c r="I642" s="19"/>
    </row>
    <row r="643" ht="15.75" customHeight="1">
      <c r="A643" s="2"/>
      <c r="B643" s="2"/>
      <c r="C643" s="30"/>
      <c r="D643" s="2"/>
      <c r="E643" s="2"/>
      <c r="F643" s="2"/>
      <c r="G643" s="2"/>
      <c r="H643" s="2"/>
      <c r="I643" s="19"/>
    </row>
    <row r="644" ht="15.75" customHeight="1">
      <c r="A644" s="2"/>
      <c r="B644" s="2"/>
      <c r="C644" s="30"/>
      <c r="D644" s="2"/>
      <c r="E644" s="2"/>
      <c r="F644" s="2"/>
      <c r="G644" s="2"/>
      <c r="H644" s="2"/>
      <c r="I644" s="19"/>
    </row>
    <row r="645" ht="15.75" customHeight="1">
      <c r="A645" s="2"/>
      <c r="B645" s="2"/>
      <c r="C645" s="30"/>
      <c r="D645" s="2"/>
      <c r="E645" s="2"/>
      <c r="F645" s="2"/>
      <c r="G645" s="2"/>
      <c r="H645" s="2"/>
      <c r="I645" s="19"/>
    </row>
    <row r="646" ht="15.75" customHeight="1">
      <c r="A646" s="2"/>
      <c r="B646" s="2"/>
      <c r="C646" s="30"/>
      <c r="D646" s="2"/>
      <c r="E646" s="2"/>
      <c r="F646" s="2"/>
      <c r="G646" s="2"/>
      <c r="H646" s="2"/>
      <c r="I646" s="19"/>
    </row>
    <row r="647" ht="15.75" customHeight="1">
      <c r="A647" s="2"/>
      <c r="B647" s="2"/>
      <c r="C647" s="30"/>
      <c r="D647" s="2"/>
      <c r="E647" s="2"/>
      <c r="F647" s="2"/>
      <c r="G647" s="2"/>
      <c r="H647" s="2"/>
      <c r="I647" s="19"/>
    </row>
    <row r="648" ht="15.75" customHeight="1">
      <c r="A648" s="2"/>
      <c r="B648" s="2"/>
      <c r="C648" s="30"/>
      <c r="D648" s="2"/>
      <c r="E648" s="2"/>
      <c r="F648" s="2"/>
      <c r="G648" s="2"/>
      <c r="H648" s="2"/>
      <c r="I648" s="19"/>
    </row>
    <row r="649" ht="15.75" customHeight="1">
      <c r="A649" s="2"/>
      <c r="B649" s="2"/>
      <c r="C649" s="30"/>
      <c r="D649" s="2"/>
      <c r="E649" s="2"/>
      <c r="F649" s="2"/>
      <c r="G649" s="2"/>
      <c r="H649" s="2"/>
      <c r="I649" s="19"/>
    </row>
    <row r="650" ht="15.75" customHeight="1">
      <c r="A650" s="2"/>
      <c r="B650" s="2"/>
      <c r="C650" s="30"/>
      <c r="D650" s="2"/>
      <c r="E650" s="2"/>
      <c r="F650" s="2"/>
      <c r="G650" s="2"/>
      <c r="H650" s="2"/>
      <c r="I650" s="19"/>
    </row>
    <row r="651" ht="15.75" customHeight="1">
      <c r="A651" s="2"/>
      <c r="B651" s="2"/>
      <c r="C651" s="30"/>
      <c r="D651" s="2"/>
      <c r="E651" s="2"/>
      <c r="F651" s="2"/>
      <c r="G651" s="2"/>
      <c r="H651" s="2"/>
      <c r="I651" s="19"/>
    </row>
    <row r="652" ht="15.75" customHeight="1">
      <c r="A652" s="2"/>
      <c r="B652" s="2"/>
      <c r="C652" s="30"/>
      <c r="D652" s="2"/>
      <c r="E652" s="2"/>
      <c r="F652" s="2"/>
      <c r="G652" s="2"/>
      <c r="H652" s="2"/>
      <c r="I652" s="19"/>
    </row>
    <row r="653" ht="15.75" customHeight="1">
      <c r="A653" s="2"/>
      <c r="B653" s="2"/>
      <c r="C653" s="30"/>
      <c r="D653" s="2"/>
      <c r="E653" s="2"/>
      <c r="F653" s="2"/>
      <c r="G653" s="2"/>
      <c r="H653" s="2"/>
      <c r="I653" s="19"/>
    </row>
    <row r="654" ht="15.75" customHeight="1">
      <c r="A654" s="2"/>
      <c r="B654" s="2"/>
      <c r="C654" s="30"/>
      <c r="D654" s="2"/>
      <c r="E654" s="2"/>
      <c r="F654" s="2"/>
      <c r="G654" s="2"/>
      <c r="H654" s="2"/>
      <c r="I654" s="19"/>
    </row>
    <row r="655" ht="15.75" customHeight="1">
      <c r="A655" s="2"/>
      <c r="B655" s="2"/>
      <c r="C655" s="30"/>
      <c r="D655" s="2"/>
      <c r="E655" s="2"/>
      <c r="F655" s="2"/>
      <c r="G655" s="2"/>
      <c r="H655" s="2"/>
      <c r="I655" s="19"/>
    </row>
    <row r="656" ht="15.75" customHeight="1">
      <c r="A656" s="2"/>
      <c r="B656" s="2"/>
      <c r="C656" s="30"/>
      <c r="D656" s="2"/>
      <c r="E656" s="2"/>
      <c r="F656" s="2"/>
      <c r="G656" s="2"/>
      <c r="H656" s="2"/>
      <c r="I656" s="19"/>
    </row>
    <row r="657" ht="15.75" customHeight="1">
      <c r="A657" s="2"/>
      <c r="B657" s="2"/>
      <c r="C657" s="30"/>
      <c r="D657" s="2"/>
      <c r="E657" s="2"/>
      <c r="F657" s="2"/>
      <c r="G657" s="2"/>
      <c r="H657" s="2"/>
      <c r="I657" s="19"/>
    </row>
    <row r="658" ht="15.75" customHeight="1">
      <c r="A658" s="2"/>
      <c r="B658" s="2"/>
      <c r="C658" s="30"/>
      <c r="D658" s="2"/>
      <c r="E658" s="2"/>
      <c r="F658" s="2"/>
      <c r="G658" s="2"/>
      <c r="H658" s="2"/>
      <c r="I658" s="19"/>
    </row>
    <row r="659" ht="15.75" customHeight="1">
      <c r="A659" s="2"/>
      <c r="B659" s="2"/>
      <c r="C659" s="30"/>
      <c r="D659" s="2"/>
      <c r="E659" s="2"/>
      <c r="F659" s="2"/>
      <c r="G659" s="2"/>
      <c r="H659" s="2"/>
      <c r="I659" s="19"/>
    </row>
    <row r="660" ht="15.75" customHeight="1">
      <c r="A660" s="2"/>
      <c r="B660" s="2"/>
      <c r="C660" s="30"/>
      <c r="D660" s="2"/>
      <c r="E660" s="2"/>
      <c r="F660" s="2"/>
      <c r="G660" s="2"/>
      <c r="H660" s="2"/>
      <c r="I660" s="19"/>
    </row>
    <row r="661" ht="15.75" customHeight="1">
      <c r="A661" s="2"/>
      <c r="B661" s="2"/>
      <c r="C661" s="30"/>
      <c r="D661" s="2"/>
      <c r="E661" s="2"/>
      <c r="F661" s="2"/>
      <c r="G661" s="2"/>
      <c r="H661" s="2"/>
      <c r="I661" s="19"/>
    </row>
    <row r="662" ht="15.75" customHeight="1">
      <c r="A662" s="2"/>
      <c r="B662" s="2"/>
      <c r="C662" s="30"/>
      <c r="D662" s="2"/>
      <c r="E662" s="2"/>
      <c r="F662" s="2"/>
      <c r="G662" s="2"/>
      <c r="H662" s="2"/>
      <c r="I662" s="19"/>
    </row>
    <row r="663" ht="15.75" customHeight="1">
      <c r="A663" s="2"/>
      <c r="B663" s="2"/>
      <c r="C663" s="30"/>
      <c r="D663" s="2"/>
      <c r="E663" s="2"/>
      <c r="F663" s="2"/>
      <c r="G663" s="2"/>
      <c r="H663" s="2"/>
      <c r="I663" s="19"/>
    </row>
    <row r="664" ht="15.75" customHeight="1">
      <c r="A664" s="2"/>
      <c r="B664" s="2"/>
      <c r="C664" s="30"/>
      <c r="D664" s="2"/>
      <c r="E664" s="2"/>
      <c r="F664" s="2"/>
      <c r="G664" s="2"/>
      <c r="H664" s="2"/>
      <c r="I664" s="19"/>
    </row>
    <row r="665" ht="15.75" customHeight="1">
      <c r="A665" s="2"/>
      <c r="B665" s="2"/>
      <c r="C665" s="30"/>
      <c r="D665" s="2"/>
      <c r="E665" s="2"/>
      <c r="F665" s="2"/>
      <c r="G665" s="2"/>
      <c r="H665" s="2"/>
      <c r="I665" s="19"/>
    </row>
    <row r="666" ht="15.75" customHeight="1">
      <c r="A666" s="2"/>
      <c r="B666" s="2"/>
      <c r="C666" s="30"/>
      <c r="D666" s="2"/>
      <c r="E666" s="2"/>
      <c r="F666" s="2"/>
      <c r="G666" s="2"/>
      <c r="H666" s="2"/>
      <c r="I666" s="19"/>
    </row>
    <row r="667" ht="15.75" customHeight="1">
      <c r="A667" s="2"/>
      <c r="B667" s="2"/>
      <c r="C667" s="30"/>
      <c r="D667" s="2"/>
      <c r="E667" s="2"/>
      <c r="F667" s="2"/>
      <c r="G667" s="2"/>
      <c r="H667" s="2"/>
      <c r="I667" s="19"/>
    </row>
    <row r="668" ht="15.75" customHeight="1">
      <c r="A668" s="2"/>
      <c r="B668" s="2"/>
      <c r="C668" s="30"/>
      <c r="D668" s="2"/>
      <c r="E668" s="2"/>
      <c r="F668" s="2"/>
      <c r="G668" s="2"/>
      <c r="H668" s="2"/>
      <c r="I668" s="19"/>
    </row>
    <row r="669" ht="15.75" customHeight="1">
      <c r="A669" s="2"/>
      <c r="B669" s="2"/>
      <c r="C669" s="30"/>
      <c r="D669" s="2"/>
      <c r="E669" s="2"/>
      <c r="F669" s="2"/>
      <c r="G669" s="2"/>
      <c r="H669" s="2"/>
      <c r="I669" s="19"/>
    </row>
    <row r="670" ht="15.75" customHeight="1">
      <c r="A670" s="2"/>
      <c r="B670" s="2"/>
      <c r="C670" s="30"/>
      <c r="D670" s="2"/>
      <c r="E670" s="2"/>
      <c r="F670" s="2"/>
      <c r="G670" s="2"/>
      <c r="H670" s="2"/>
      <c r="I670" s="19"/>
    </row>
    <row r="671" ht="15.75" customHeight="1">
      <c r="A671" s="2"/>
      <c r="B671" s="2"/>
      <c r="C671" s="30"/>
      <c r="D671" s="2"/>
      <c r="E671" s="2"/>
      <c r="F671" s="2"/>
      <c r="G671" s="2"/>
      <c r="H671" s="2"/>
      <c r="I671" s="19"/>
    </row>
    <row r="672" ht="15.75" customHeight="1">
      <c r="A672" s="2"/>
      <c r="B672" s="2"/>
      <c r="C672" s="30"/>
      <c r="D672" s="2"/>
      <c r="E672" s="2"/>
      <c r="F672" s="2"/>
      <c r="G672" s="2"/>
      <c r="H672" s="2"/>
      <c r="I672" s="19"/>
    </row>
    <row r="673" ht="15.75" customHeight="1">
      <c r="A673" s="2"/>
      <c r="B673" s="2"/>
      <c r="C673" s="30"/>
      <c r="D673" s="2"/>
      <c r="E673" s="2"/>
      <c r="F673" s="2"/>
      <c r="G673" s="2"/>
      <c r="H673" s="2"/>
      <c r="I673" s="19"/>
    </row>
    <row r="674" ht="15.75" customHeight="1">
      <c r="A674" s="2"/>
      <c r="B674" s="2"/>
      <c r="C674" s="30"/>
      <c r="D674" s="2"/>
      <c r="E674" s="2"/>
      <c r="F674" s="2"/>
      <c r="G674" s="2"/>
      <c r="H674" s="2"/>
      <c r="I674" s="19"/>
    </row>
    <row r="675" ht="15.75" customHeight="1">
      <c r="A675" s="2"/>
      <c r="B675" s="2"/>
      <c r="C675" s="30"/>
      <c r="D675" s="2"/>
      <c r="E675" s="2"/>
      <c r="F675" s="2"/>
      <c r="G675" s="2"/>
      <c r="H675" s="2"/>
      <c r="I675" s="19"/>
    </row>
    <row r="676" ht="15.75" customHeight="1">
      <c r="A676" s="2"/>
      <c r="B676" s="2"/>
      <c r="C676" s="30"/>
      <c r="D676" s="2"/>
      <c r="E676" s="2"/>
      <c r="F676" s="2"/>
      <c r="G676" s="2"/>
      <c r="H676" s="2"/>
      <c r="I676" s="19"/>
    </row>
    <row r="677" ht="15.75" customHeight="1">
      <c r="A677" s="2"/>
      <c r="B677" s="2"/>
      <c r="C677" s="30"/>
      <c r="D677" s="2"/>
      <c r="E677" s="2"/>
      <c r="F677" s="2"/>
      <c r="G677" s="2"/>
      <c r="H677" s="2"/>
      <c r="I677" s="19"/>
    </row>
    <row r="678" ht="15.75" customHeight="1">
      <c r="A678" s="2"/>
      <c r="B678" s="2"/>
      <c r="C678" s="30"/>
      <c r="D678" s="2"/>
      <c r="E678" s="2"/>
      <c r="F678" s="2"/>
      <c r="G678" s="2"/>
      <c r="H678" s="2"/>
      <c r="I678" s="19"/>
    </row>
    <row r="679" ht="15.75" customHeight="1">
      <c r="A679" s="2"/>
      <c r="B679" s="2"/>
      <c r="C679" s="30"/>
      <c r="D679" s="2"/>
      <c r="E679" s="2"/>
      <c r="F679" s="2"/>
      <c r="G679" s="2"/>
      <c r="H679" s="2"/>
      <c r="I679" s="19"/>
    </row>
    <row r="680" ht="15.75" customHeight="1">
      <c r="A680" s="2"/>
      <c r="B680" s="2"/>
      <c r="C680" s="30"/>
      <c r="D680" s="2"/>
      <c r="E680" s="2"/>
      <c r="F680" s="2"/>
      <c r="G680" s="2"/>
      <c r="H680" s="2"/>
      <c r="I680" s="19"/>
    </row>
    <row r="681" ht="15.75" customHeight="1">
      <c r="A681" s="2"/>
      <c r="B681" s="2"/>
      <c r="C681" s="30"/>
      <c r="D681" s="2"/>
      <c r="E681" s="2"/>
      <c r="F681" s="2"/>
      <c r="G681" s="2"/>
      <c r="H681" s="2"/>
      <c r="I681" s="19"/>
    </row>
    <row r="682" ht="15.75" customHeight="1">
      <c r="A682" s="2"/>
      <c r="B682" s="2"/>
      <c r="C682" s="30"/>
      <c r="D682" s="2"/>
      <c r="E682" s="2"/>
      <c r="F682" s="2"/>
      <c r="G682" s="2"/>
      <c r="H682" s="2"/>
      <c r="I682" s="19"/>
    </row>
    <row r="683" ht="15.75" customHeight="1">
      <c r="A683" s="2"/>
      <c r="B683" s="2"/>
      <c r="C683" s="30"/>
      <c r="D683" s="2"/>
      <c r="E683" s="2"/>
      <c r="F683" s="2"/>
      <c r="G683" s="2"/>
      <c r="H683" s="2"/>
      <c r="I683" s="19"/>
    </row>
    <row r="684" ht="15.75" customHeight="1">
      <c r="A684" s="2"/>
      <c r="B684" s="2"/>
      <c r="C684" s="30"/>
      <c r="D684" s="2"/>
      <c r="E684" s="2"/>
      <c r="F684" s="2"/>
      <c r="G684" s="2"/>
      <c r="H684" s="2"/>
      <c r="I684" s="19"/>
    </row>
    <row r="685" ht="15.75" customHeight="1">
      <c r="A685" s="2"/>
      <c r="B685" s="2"/>
      <c r="C685" s="30"/>
      <c r="D685" s="2"/>
      <c r="E685" s="2"/>
      <c r="F685" s="2"/>
      <c r="G685" s="2"/>
      <c r="H685" s="2"/>
      <c r="I685" s="19"/>
    </row>
    <row r="686" ht="15.75" customHeight="1">
      <c r="A686" s="2"/>
      <c r="B686" s="2"/>
      <c r="C686" s="30"/>
      <c r="D686" s="2"/>
      <c r="E686" s="2"/>
      <c r="F686" s="2"/>
      <c r="G686" s="2"/>
      <c r="H686" s="2"/>
      <c r="I686" s="19"/>
    </row>
    <row r="687" ht="15.75" customHeight="1">
      <c r="A687" s="2"/>
      <c r="B687" s="2"/>
      <c r="C687" s="30"/>
      <c r="D687" s="2"/>
      <c r="E687" s="2"/>
      <c r="F687" s="2"/>
      <c r="G687" s="2"/>
      <c r="H687" s="2"/>
      <c r="I687" s="19"/>
    </row>
    <row r="688" ht="15.75" customHeight="1">
      <c r="A688" s="2"/>
      <c r="B688" s="2"/>
      <c r="C688" s="30"/>
      <c r="D688" s="2"/>
      <c r="E688" s="2"/>
      <c r="F688" s="2"/>
      <c r="G688" s="2"/>
      <c r="H688" s="2"/>
      <c r="I688" s="19"/>
    </row>
    <row r="689" ht="15.75" customHeight="1">
      <c r="A689" s="2"/>
      <c r="B689" s="2"/>
      <c r="C689" s="30"/>
      <c r="D689" s="2"/>
      <c r="E689" s="2"/>
      <c r="F689" s="2"/>
      <c r="G689" s="2"/>
      <c r="H689" s="2"/>
      <c r="I689" s="19"/>
    </row>
    <row r="690" ht="15.75" customHeight="1">
      <c r="A690" s="2"/>
      <c r="B690" s="2"/>
      <c r="C690" s="30"/>
      <c r="D690" s="2"/>
      <c r="E690" s="2"/>
      <c r="F690" s="2"/>
      <c r="G690" s="2"/>
      <c r="H690" s="2"/>
      <c r="I690" s="19"/>
    </row>
    <row r="691" ht="15.75" customHeight="1">
      <c r="A691" s="2"/>
      <c r="B691" s="2"/>
      <c r="C691" s="30"/>
      <c r="D691" s="2"/>
      <c r="E691" s="2"/>
      <c r="F691" s="2"/>
      <c r="G691" s="2"/>
      <c r="H691" s="2"/>
      <c r="I691" s="19"/>
    </row>
    <row r="692" ht="15.75" customHeight="1">
      <c r="A692" s="2"/>
      <c r="B692" s="2"/>
      <c r="C692" s="30"/>
      <c r="D692" s="2"/>
      <c r="E692" s="2"/>
      <c r="F692" s="2"/>
      <c r="G692" s="2"/>
      <c r="H692" s="2"/>
      <c r="I692" s="19"/>
    </row>
    <row r="693" ht="15.75" customHeight="1">
      <c r="A693" s="2"/>
      <c r="B693" s="2"/>
      <c r="C693" s="30"/>
      <c r="D693" s="2"/>
      <c r="E693" s="2"/>
      <c r="F693" s="2"/>
      <c r="G693" s="2"/>
      <c r="H693" s="2"/>
      <c r="I693" s="19"/>
    </row>
    <row r="694" ht="15.75" customHeight="1">
      <c r="A694" s="2"/>
      <c r="B694" s="2"/>
      <c r="C694" s="30"/>
      <c r="D694" s="2"/>
      <c r="E694" s="2"/>
      <c r="F694" s="2"/>
      <c r="G694" s="2"/>
      <c r="H694" s="2"/>
      <c r="I694" s="19"/>
    </row>
    <row r="695" ht="15.75" customHeight="1">
      <c r="A695" s="2"/>
      <c r="B695" s="2"/>
      <c r="C695" s="30"/>
      <c r="D695" s="2"/>
      <c r="E695" s="2"/>
      <c r="F695" s="2"/>
      <c r="G695" s="2"/>
      <c r="H695" s="2"/>
      <c r="I695" s="19"/>
    </row>
    <row r="696" ht="15.75" customHeight="1">
      <c r="A696" s="2"/>
      <c r="B696" s="2"/>
      <c r="C696" s="30"/>
      <c r="D696" s="2"/>
      <c r="E696" s="2"/>
      <c r="F696" s="2"/>
      <c r="G696" s="2"/>
      <c r="H696" s="2"/>
      <c r="I696" s="19"/>
    </row>
    <row r="697" ht="15.75" customHeight="1">
      <c r="A697" s="2"/>
      <c r="B697" s="2"/>
      <c r="C697" s="30"/>
      <c r="D697" s="2"/>
      <c r="E697" s="2"/>
      <c r="F697" s="2"/>
      <c r="G697" s="2"/>
      <c r="H697" s="2"/>
      <c r="I697" s="19"/>
    </row>
    <row r="698" ht="15.75" customHeight="1">
      <c r="A698" s="2"/>
      <c r="B698" s="2"/>
      <c r="C698" s="30"/>
      <c r="D698" s="2"/>
      <c r="E698" s="2"/>
      <c r="F698" s="2"/>
      <c r="G698" s="2"/>
      <c r="H698" s="2"/>
      <c r="I698" s="19"/>
    </row>
    <row r="699" ht="15.75" customHeight="1">
      <c r="A699" s="2"/>
      <c r="B699" s="2"/>
      <c r="C699" s="30"/>
      <c r="D699" s="2"/>
      <c r="E699" s="2"/>
      <c r="F699" s="2"/>
      <c r="G699" s="2"/>
      <c r="H699" s="2"/>
      <c r="I699" s="19"/>
    </row>
    <row r="700" ht="15.75" customHeight="1">
      <c r="A700" s="2"/>
      <c r="B700" s="2"/>
      <c r="C700" s="30"/>
      <c r="D700" s="2"/>
      <c r="E700" s="2"/>
      <c r="F700" s="2"/>
      <c r="G700" s="2"/>
      <c r="H700" s="2"/>
      <c r="I700" s="19"/>
    </row>
    <row r="701" ht="15.75" customHeight="1">
      <c r="A701" s="2"/>
      <c r="B701" s="2"/>
      <c r="C701" s="30"/>
      <c r="D701" s="2"/>
      <c r="E701" s="2"/>
      <c r="F701" s="2"/>
      <c r="G701" s="2"/>
      <c r="H701" s="2"/>
      <c r="I701" s="19"/>
    </row>
    <row r="702" ht="15.75" customHeight="1">
      <c r="A702" s="2"/>
      <c r="B702" s="2"/>
      <c r="C702" s="30"/>
      <c r="D702" s="2"/>
      <c r="E702" s="2"/>
      <c r="F702" s="2"/>
      <c r="G702" s="2"/>
      <c r="H702" s="2"/>
      <c r="I702" s="19"/>
    </row>
    <row r="703" ht="15.75" customHeight="1">
      <c r="A703" s="2"/>
      <c r="B703" s="2"/>
      <c r="C703" s="30"/>
      <c r="D703" s="2"/>
      <c r="E703" s="2"/>
      <c r="F703" s="2"/>
      <c r="G703" s="2"/>
      <c r="H703" s="2"/>
      <c r="I703" s="19"/>
    </row>
    <row r="704" ht="15.75" customHeight="1">
      <c r="A704" s="2"/>
      <c r="B704" s="2"/>
      <c r="C704" s="30"/>
      <c r="D704" s="2"/>
      <c r="E704" s="2"/>
      <c r="F704" s="2"/>
      <c r="G704" s="2"/>
      <c r="H704" s="2"/>
      <c r="I704" s="19"/>
    </row>
    <row r="705" ht="15.75" customHeight="1">
      <c r="A705" s="2"/>
      <c r="B705" s="2"/>
      <c r="C705" s="30"/>
      <c r="D705" s="2"/>
      <c r="E705" s="2"/>
      <c r="F705" s="2"/>
      <c r="G705" s="2"/>
      <c r="H705" s="2"/>
      <c r="I705" s="19"/>
    </row>
    <row r="706" ht="15.75" customHeight="1">
      <c r="A706" s="2"/>
      <c r="B706" s="2"/>
      <c r="C706" s="30"/>
      <c r="D706" s="2"/>
      <c r="E706" s="2"/>
      <c r="F706" s="2"/>
      <c r="G706" s="2"/>
      <c r="H706" s="2"/>
      <c r="I706" s="19"/>
    </row>
    <row r="707" ht="15.75" customHeight="1">
      <c r="A707" s="2"/>
      <c r="B707" s="2"/>
      <c r="C707" s="30"/>
      <c r="D707" s="2"/>
      <c r="E707" s="2"/>
      <c r="F707" s="2"/>
      <c r="G707" s="2"/>
      <c r="H707" s="2"/>
      <c r="I707" s="19"/>
    </row>
    <row r="708" ht="15.75" customHeight="1">
      <c r="A708" s="2"/>
      <c r="B708" s="2"/>
      <c r="C708" s="30"/>
      <c r="D708" s="2"/>
      <c r="E708" s="2"/>
      <c r="F708" s="2"/>
      <c r="G708" s="2"/>
      <c r="H708" s="2"/>
      <c r="I708" s="19"/>
    </row>
    <row r="709" ht="15.75" customHeight="1">
      <c r="A709" s="2"/>
      <c r="B709" s="2"/>
      <c r="C709" s="30"/>
      <c r="D709" s="2"/>
      <c r="E709" s="2"/>
      <c r="F709" s="2"/>
      <c r="G709" s="2"/>
      <c r="H709" s="2"/>
      <c r="I709" s="19"/>
    </row>
    <row r="710" ht="15.75" customHeight="1">
      <c r="A710" s="2"/>
      <c r="B710" s="2"/>
      <c r="C710" s="30"/>
      <c r="D710" s="2"/>
      <c r="E710" s="2"/>
      <c r="F710" s="2"/>
      <c r="G710" s="2"/>
      <c r="H710" s="2"/>
      <c r="I710" s="19"/>
    </row>
    <row r="711" ht="15.75" customHeight="1">
      <c r="A711" s="2"/>
      <c r="B711" s="2"/>
      <c r="C711" s="30"/>
      <c r="D711" s="2"/>
      <c r="E711" s="2"/>
      <c r="F711" s="2"/>
      <c r="G711" s="2"/>
      <c r="H711" s="2"/>
      <c r="I711" s="19"/>
    </row>
    <row r="712" ht="15.75" customHeight="1">
      <c r="A712" s="2"/>
      <c r="B712" s="2"/>
      <c r="C712" s="30"/>
      <c r="D712" s="2"/>
      <c r="E712" s="2"/>
      <c r="F712" s="2"/>
      <c r="G712" s="2"/>
      <c r="H712" s="2"/>
      <c r="I712" s="19"/>
    </row>
    <row r="713" ht="15.75" customHeight="1">
      <c r="A713" s="2"/>
      <c r="B713" s="2"/>
      <c r="C713" s="30"/>
      <c r="D713" s="2"/>
      <c r="E713" s="2"/>
      <c r="F713" s="2"/>
      <c r="G713" s="2"/>
      <c r="H713" s="2"/>
      <c r="I713" s="19"/>
    </row>
    <row r="714" ht="15.75" customHeight="1">
      <c r="A714" s="2"/>
      <c r="B714" s="2"/>
      <c r="C714" s="30"/>
      <c r="D714" s="2"/>
      <c r="E714" s="2"/>
      <c r="F714" s="2"/>
      <c r="G714" s="2"/>
      <c r="H714" s="2"/>
      <c r="I714" s="19"/>
    </row>
    <row r="715" ht="15.75" customHeight="1">
      <c r="A715" s="2"/>
      <c r="B715" s="2"/>
      <c r="C715" s="30"/>
      <c r="D715" s="2"/>
      <c r="E715" s="2"/>
      <c r="F715" s="2"/>
      <c r="G715" s="2"/>
      <c r="H715" s="2"/>
      <c r="I715" s="19"/>
    </row>
    <row r="716" ht="15.75" customHeight="1">
      <c r="A716" s="2"/>
      <c r="B716" s="2"/>
      <c r="C716" s="30"/>
      <c r="D716" s="2"/>
      <c r="E716" s="2"/>
      <c r="F716" s="2"/>
      <c r="G716" s="2"/>
      <c r="H716" s="2"/>
      <c r="I716" s="19"/>
    </row>
    <row r="717" ht="15.75" customHeight="1">
      <c r="A717" s="2"/>
      <c r="B717" s="2"/>
      <c r="C717" s="30"/>
      <c r="D717" s="2"/>
      <c r="E717" s="2"/>
      <c r="F717" s="2"/>
      <c r="G717" s="2"/>
      <c r="H717" s="2"/>
      <c r="I717" s="19"/>
    </row>
    <row r="718" ht="15.75" customHeight="1">
      <c r="A718" s="2"/>
      <c r="B718" s="2"/>
      <c r="C718" s="30"/>
      <c r="D718" s="2"/>
      <c r="E718" s="2"/>
      <c r="F718" s="2"/>
      <c r="G718" s="2"/>
      <c r="H718" s="2"/>
      <c r="I718" s="19"/>
    </row>
    <row r="719" ht="15.75" customHeight="1">
      <c r="A719" s="2"/>
      <c r="B719" s="2"/>
      <c r="C719" s="30"/>
      <c r="D719" s="2"/>
      <c r="E719" s="2"/>
      <c r="F719" s="2"/>
      <c r="G719" s="2"/>
      <c r="H719" s="2"/>
      <c r="I719" s="19"/>
    </row>
    <row r="720" ht="15.75" customHeight="1">
      <c r="A720" s="2"/>
      <c r="B720" s="2"/>
      <c r="C720" s="30"/>
      <c r="D720" s="2"/>
      <c r="E720" s="2"/>
      <c r="F720" s="2"/>
      <c r="G720" s="2"/>
      <c r="H720" s="2"/>
      <c r="I720" s="19"/>
    </row>
    <row r="721" ht="15.75" customHeight="1">
      <c r="A721" s="2"/>
      <c r="B721" s="2"/>
      <c r="C721" s="30"/>
      <c r="D721" s="2"/>
      <c r="E721" s="2"/>
      <c r="F721" s="2"/>
      <c r="G721" s="2"/>
      <c r="H721" s="2"/>
      <c r="I721" s="19"/>
    </row>
    <row r="722" ht="15.75" customHeight="1">
      <c r="A722" s="2"/>
      <c r="B722" s="2"/>
      <c r="C722" s="30"/>
      <c r="D722" s="2"/>
      <c r="E722" s="2"/>
      <c r="F722" s="2"/>
      <c r="G722" s="2"/>
      <c r="H722" s="2"/>
      <c r="I722" s="19"/>
    </row>
    <row r="723" ht="15.75" customHeight="1">
      <c r="A723" s="2"/>
      <c r="B723" s="2"/>
      <c r="C723" s="30"/>
      <c r="D723" s="2"/>
      <c r="E723" s="2"/>
      <c r="F723" s="2"/>
      <c r="G723" s="2"/>
      <c r="H723" s="2"/>
      <c r="I723" s="19"/>
    </row>
    <row r="724" ht="15.75" customHeight="1">
      <c r="A724" s="2"/>
      <c r="B724" s="2"/>
      <c r="C724" s="30"/>
      <c r="D724" s="2"/>
      <c r="E724" s="2"/>
      <c r="F724" s="2"/>
      <c r="G724" s="2"/>
      <c r="H724" s="2"/>
      <c r="I724" s="19"/>
    </row>
    <row r="725" ht="15.75" customHeight="1">
      <c r="A725" s="2"/>
      <c r="B725" s="2"/>
      <c r="C725" s="30"/>
      <c r="D725" s="2"/>
      <c r="E725" s="2"/>
      <c r="F725" s="2"/>
      <c r="G725" s="2"/>
      <c r="H725" s="2"/>
      <c r="I725" s="19"/>
    </row>
    <row r="726" ht="15.75" customHeight="1">
      <c r="A726" s="2"/>
      <c r="B726" s="2"/>
      <c r="C726" s="30"/>
      <c r="D726" s="2"/>
      <c r="E726" s="2"/>
      <c r="F726" s="2"/>
      <c r="G726" s="2"/>
      <c r="H726" s="2"/>
      <c r="I726" s="19"/>
    </row>
    <row r="727" ht="15.75" customHeight="1">
      <c r="A727" s="2"/>
      <c r="B727" s="2"/>
      <c r="C727" s="30"/>
      <c r="D727" s="2"/>
      <c r="E727" s="2"/>
      <c r="F727" s="2"/>
      <c r="G727" s="2"/>
      <c r="H727" s="2"/>
      <c r="I727" s="19"/>
    </row>
    <row r="728" ht="15.75" customHeight="1">
      <c r="A728" s="2"/>
      <c r="B728" s="2"/>
      <c r="C728" s="30"/>
      <c r="D728" s="2"/>
      <c r="E728" s="2"/>
      <c r="F728" s="2"/>
      <c r="G728" s="2"/>
      <c r="H728" s="2"/>
      <c r="I728" s="19"/>
    </row>
    <row r="729" ht="15.75" customHeight="1">
      <c r="A729" s="2"/>
      <c r="B729" s="2"/>
      <c r="C729" s="30"/>
      <c r="D729" s="2"/>
      <c r="E729" s="2"/>
      <c r="F729" s="2"/>
      <c r="G729" s="2"/>
      <c r="H729" s="2"/>
      <c r="I729" s="19"/>
    </row>
    <row r="730" ht="15.75" customHeight="1">
      <c r="A730" s="2"/>
      <c r="B730" s="2"/>
      <c r="C730" s="30"/>
      <c r="D730" s="2"/>
      <c r="E730" s="2"/>
      <c r="F730" s="2"/>
      <c r="G730" s="2"/>
      <c r="H730" s="2"/>
      <c r="I730" s="19"/>
    </row>
    <row r="731" ht="15.75" customHeight="1">
      <c r="A731" s="2"/>
      <c r="B731" s="2"/>
      <c r="C731" s="30"/>
      <c r="D731" s="2"/>
      <c r="E731" s="2"/>
      <c r="F731" s="2"/>
      <c r="G731" s="2"/>
      <c r="H731" s="2"/>
      <c r="I731" s="19"/>
    </row>
    <row r="732" ht="15.75" customHeight="1">
      <c r="A732" s="2"/>
      <c r="B732" s="2"/>
      <c r="C732" s="30"/>
      <c r="D732" s="2"/>
      <c r="E732" s="2"/>
      <c r="F732" s="2"/>
      <c r="G732" s="2"/>
      <c r="H732" s="2"/>
      <c r="I732" s="19"/>
    </row>
    <row r="733" ht="15.75" customHeight="1">
      <c r="A733" s="2"/>
      <c r="B733" s="2"/>
      <c r="C733" s="30"/>
      <c r="D733" s="2"/>
      <c r="E733" s="2"/>
      <c r="F733" s="2"/>
      <c r="G733" s="2"/>
      <c r="H733" s="2"/>
      <c r="I733" s="19"/>
    </row>
    <row r="734" ht="15.75" customHeight="1">
      <c r="A734" s="2"/>
      <c r="B734" s="2"/>
      <c r="C734" s="30"/>
      <c r="D734" s="2"/>
      <c r="E734" s="2"/>
      <c r="F734" s="2"/>
      <c r="G734" s="2"/>
      <c r="H734" s="2"/>
      <c r="I734" s="19"/>
    </row>
    <row r="735" ht="15.75" customHeight="1">
      <c r="A735" s="2"/>
      <c r="B735" s="2"/>
      <c r="C735" s="30"/>
      <c r="D735" s="2"/>
      <c r="E735" s="2"/>
      <c r="F735" s="2"/>
      <c r="G735" s="2"/>
      <c r="H735" s="2"/>
      <c r="I735" s="19"/>
    </row>
    <row r="736" ht="15.75" customHeight="1">
      <c r="A736" s="2"/>
      <c r="B736" s="2"/>
      <c r="C736" s="30"/>
      <c r="D736" s="2"/>
      <c r="E736" s="2"/>
      <c r="F736" s="2"/>
      <c r="G736" s="2"/>
      <c r="H736" s="2"/>
      <c r="I736" s="19"/>
    </row>
    <row r="737" ht="15.75" customHeight="1">
      <c r="A737" s="2"/>
      <c r="B737" s="2"/>
      <c r="C737" s="30"/>
      <c r="D737" s="2"/>
      <c r="E737" s="2"/>
      <c r="F737" s="2"/>
      <c r="G737" s="2"/>
      <c r="H737" s="2"/>
      <c r="I737" s="19"/>
    </row>
    <row r="738" ht="15.75" customHeight="1">
      <c r="A738" s="2"/>
      <c r="B738" s="2"/>
      <c r="C738" s="30"/>
      <c r="D738" s="2"/>
      <c r="E738" s="2"/>
      <c r="F738" s="2"/>
      <c r="G738" s="2"/>
      <c r="H738" s="2"/>
      <c r="I738" s="19"/>
    </row>
    <row r="739" ht="15.75" customHeight="1">
      <c r="A739" s="2"/>
      <c r="B739" s="2"/>
      <c r="C739" s="30"/>
      <c r="D739" s="2"/>
      <c r="E739" s="2"/>
      <c r="F739" s="2"/>
      <c r="G739" s="2"/>
      <c r="H739" s="2"/>
      <c r="I739" s="19"/>
    </row>
    <row r="740" ht="15.75" customHeight="1">
      <c r="A740" s="2"/>
      <c r="B740" s="2"/>
      <c r="C740" s="30"/>
      <c r="D740" s="2"/>
      <c r="E740" s="2"/>
      <c r="F740" s="2"/>
      <c r="G740" s="2"/>
      <c r="H740" s="2"/>
      <c r="I740" s="19"/>
    </row>
    <row r="741" ht="15.75" customHeight="1">
      <c r="A741" s="2"/>
      <c r="B741" s="2"/>
      <c r="C741" s="30"/>
      <c r="D741" s="2"/>
      <c r="E741" s="2"/>
      <c r="F741" s="2"/>
      <c r="G741" s="2"/>
      <c r="H741" s="2"/>
      <c r="I741" s="19"/>
    </row>
    <row r="742" ht="15.75" customHeight="1">
      <c r="A742" s="2"/>
      <c r="B742" s="2"/>
      <c r="C742" s="30"/>
      <c r="D742" s="2"/>
      <c r="E742" s="2"/>
      <c r="F742" s="2"/>
      <c r="G742" s="2"/>
      <c r="H742" s="2"/>
      <c r="I742" s="19"/>
    </row>
    <row r="743" ht="15.75" customHeight="1">
      <c r="A743" s="2"/>
      <c r="B743" s="2"/>
      <c r="C743" s="30"/>
      <c r="D743" s="2"/>
      <c r="E743" s="2"/>
      <c r="F743" s="2"/>
      <c r="G743" s="2"/>
      <c r="H743" s="2"/>
      <c r="I743" s="19"/>
    </row>
    <row r="744" ht="15.75" customHeight="1">
      <c r="A744" s="2"/>
      <c r="B744" s="2"/>
      <c r="C744" s="30"/>
      <c r="D744" s="2"/>
      <c r="E744" s="2"/>
      <c r="F744" s="2"/>
      <c r="G744" s="2"/>
      <c r="H744" s="2"/>
      <c r="I744" s="19"/>
    </row>
    <row r="745" ht="15.75" customHeight="1">
      <c r="A745" s="2"/>
      <c r="B745" s="2"/>
      <c r="C745" s="30"/>
      <c r="D745" s="2"/>
      <c r="E745" s="2"/>
      <c r="F745" s="2"/>
      <c r="G745" s="2"/>
      <c r="H745" s="2"/>
      <c r="I745" s="19"/>
    </row>
    <row r="746" ht="15.75" customHeight="1">
      <c r="A746" s="2"/>
      <c r="B746" s="2"/>
      <c r="C746" s="30"/>
      <c r="D746" s="2"/>
      <c r="E746" s="2"/>
      <c r="F746" s="2"/>
      <c r="G746" s="2"/>
      <c r="H746" s="2"/>
      <c r="I746" s="19"/>
    </row>
    <row r="747" ht="15.75" customHeight="1">
      <c r="A747" s="2"/>
      <c r="B747" s="2"/>
      <c r="C747" s="30"/>
      <c r="D747" s="2"/>
      <c r="E747" s="2"/>
      <c r="F747" s="2"/>
      <c r="G747" s="2"/>
      <c r="H747" s="2"/>
      <c r="I747" s="19"/>
    </row>
    <row r="748" ht="15.75" customHeight="1">
      <c r="A748" s="2"/>
      <c r="B748" s="2"/>
      <c r="C748" s="30"/>
      <c r="D748" s="2"/>
      <c r="E748" s="2"/>
      <c r="F748" s="2"/>
      <c r="G748" s="2"/>
      <c r="H748" s="2"/>
      <c r="I748" s="19"/>
    </row>
    <row r="749" ht="15.75" customHeight="1">
      <c r="A749" s="2"/>
      <c r="B749" s="2"/>
      <c r="C749" s="30"/>
      <c r="D749" s="2"/>
      <c r="E749" s="2"/>
      <c r="F749" s="2"/>
      <c r="G749" s="2"/>
      <c r="H749" s="2"/>
      <c r="I749" s="19"/>
    </row>
    <row r="750" ht="15.75" customHeight="1">
      <c r="A750" s="2"/>
      <c r="B750" s="2"/>
      <c r="C750" s="30"/>
      <c r="D750" s="2"/>
      <c r="E750" s="2"/>
      <c r="F750" s="2"/>
      <c r="G750" s="2"/>
      <c r="H750" s="2"/>
      <c r="I750" s="19"/>
    </row>
    <row r="751" ht="15.75" customHeight="1">
      <c r="A751" s="2"/>
      <c r="B751" s="2"/>
      <c r="C751" s="30"/>
      <c r="D751" s="2"/>
      <c r="E751" s="2"/>
      <c r="F751" s="2"/>
      <c r="G751" s="2"/>
      <c r="H751" s="2"/>
      <c r="I751" s="19"/>
    </row>
    <row r="752" ht="15.75" customHeight="1">
      <c r="A752" s="2"/>
      <c r="B752" s="2"/>
      <c r="C752" s="30"/>
      <c r="D752" s="2"/>
      <c r="E752" s="2"/>
      <c r="F752" s="2"/>
      <c r="G752" s="2"/>
      <c r="H752" s="2"/>
      <c r="I752" s="19"/>
    </row>
    <row r="753" ht="15.75" customHeight="1">
      <c r="A753" s="2"/>
      <c r="B753" s="2"/>
      <c r="C753" s="30"/>
      <c r="D753" s="2"/>
      <c r="E753" s="2"/>
      <c r="F753" s="2"/>
      <c r="G753" s="2"/>
      <c r="H753" s="2"/>
      <c r="I753" s="19"/>
    </row>
    <row r="754" ht="15.75" customHeight="1">
      <c r="A754" s="2"/>
      <c r="B754" s="2"/>
      <c r="C754" s="30"/>
      <c r="D754" s="2"/>
      <c r="E754" s="2"/>
      <c r="F754" s="2"/>
      <c r="G754" s="2"/>
      <c r="H754" s="2"/>
      <c r="I754" s="19"/>
    </row>
    <row r="755" ht="15.75" customHeight="1">
      <c r="A755" s="2"/>
      <c r="B755" s="2"/>
      <c r="C755" s="30"/>
      <c r="D755" s="2"/>
      <c r="E755" s="2"/>
      <c r="F755" s="2"/>
      <c r="G755" s="2"/>
      <c r="H755" s="2"/>
      <c r="I755" s="19"/>
    </row>
    <row r="756" ht="15.75" customHeight="1">
      <c r="A756" s="2"/>
      <c r="B756" s="2"/>
      <c r="C756" s="30"/>
      <c r="D756" s="2"/>
      <c r="E756" s="2"/>
      <c r="F756" s="2"/>
      <c r="G756" s="2"/>
      <c r="H756" s="2"/>
      <c r="I756" s="19"/>
    </row>
    <row r="757" ht="15.75" customHeight="1">
      <c r="A757" s="2"/>
      <c r="B757" s="2"/>
      <c r="C757" s="30"/>
      <c r="D757" s="2"/>
      <c r="E757" s="2"/>
      <c r="F757" s="2"/>
      <c r="G757" s="2"/>
      <c r="H757" s="2"/>
      <c r="I757" s="19"/>
    </row>
    <row r="758" ht="15.75" customHeight="1">
      <c r="A758" s="2"/>
      <c r="B758" s="2"/>
      <c r="C758" s="30"/>
      <c r="D758" s="2"/>
      <c r="E758" s="2"/>
      <c r="F758" s="2"/>
      <c r="G758" s="2"/>
      <c r="H758" s="2"/>
      <c r="I758" s="19"/>
    </row>
    <row r="759" ht="15.75" customHeight="1">
      <c r="A759" s="2"/>
      <c r="B759" s="2"/>
      <c r="C759" s="30"/>
      <c r="D759" s="2"/>
      <c r="E759" s="2"/>
      <c r="F759" s="2"/>
      <c r="G759" s="2"/>
      <c r="H759" s="2"/>
      <c r="I759" s="19"/>
    </row>
    <row r="760" ht="15.75" customHeight="1">
      <c r="A760" s="2"/>
      <c r="B760" s="2"/>
      <c r="C760" s="30"/>
      <c r="D760" s="2"/>
      <c r="E760" s="2"/>
      <c r="F760" s="2"/>
      <c r="G760" s="2"/>
      <c r="H760" s="2"/>
      <c r="I760" s="19"/>
    </row>
    <row r="761" ht="15.75" customHeight="1">
      <c r="A761" s="2"/>
      <c r="B761" s="2"/>
      <c r="C761" s="30"/>
      <c r="D761" s="2"/>
      <c r="E761" s="2"/>
      <c r="F761" s="2"/>
      <c r="G761" s="2"/>
      <c r="H761" s="2"/>
      <c r="I761" s="19"/>
    </row>
    <row r="762" ht="15.75" customHeight="1">
      <c r="A762" s="2"/>
      <c r="B762" s="2"/>
      <c r="C762" s="30"/>
      <c r="D762" s="2"/>
      <c r="E762" s="2"/>
      <c r="F762" s="2"/>
      <c r="G762" s="2"/>
      <c r="H762" s="2"/>
      <c r="I762" s="19"/>
    </row>
    <row r="763" ht="15.75" customHeight="1">
      <c r="A763" s="2"/>
      <c r="B763" s="2"/>
      <c r="C763" s="30"/>
      <c r="D763" s="2"/>
      <c r="E763" s="2"/>
      <c r="F763" s="2"/>
      <c r="G763" s="2"/>
      <c r="H763" s="2"/>
      <c r="I763" s="19"/>
    </row>
    <row r="764" ht="15.75" customHeight="1">
      <c r="A764" s="2"/>
      <c r="B764" s="2"/>
      <c r="C764" s="30"/>
      <c r="D764" s="2"/>
      <c r="E764" s="2"/>
      <c r="F764" s="2"/>
      <c r="G764" s="2"/>
      <c r="H764" s="2"/>
      <c r="I764" s="19"/>
    </row>
    <row r="765" ht="15.75" customHeight="1">
      <c r="A765" s="2"/>
      <c r="B765" s="2"/>
      <c r="C765" s="30"/>
      <c r="D765" s="2"/>
      <c r="E765" s="2"/>
      <c r="F765" s="2"/>
      <c r="G765" s="2"/>
      <c r="H765" s="2"/>
      <c r="I765" s="19"/>
    </row>
    <row r="766" ht="15.75" customHeight="1">
      <c r="A766" s="2"/>
      <c r="B766" s="2"/>
      <c r="C766" s="30"/>
      <c r="D766" s="2"/>
      <c r="E766" s="2"/>
      <c r="F766" s="2"/>
      <c r="G766" s="2"/>
      <c r="H766" s="2"/>
      <c r="I766" s="19"/>
    </row>
    <row r="767" ht="15.75" customHeight="1">
      <c r="A767" s="2"/>
      <c r="B767" s="2"/>
      <c r="C767" s="30"/>
      <c r="D767" s="2"/>
      <c r="E767" s="2"/>
      <c r="F767" s="2"/>
      <c r="G767" s="2"/>
      <c r="H767" s="2"/>
      <c r="I767" s="19"/>
    </row>
    <row r="768" ht="15.75" customHeight="1">
      <c r="A768" s="2"/>
      <c r="B768" s="2"/>
      <c r="C768" s="30"/>
      <c r="D768" s="2"/>
      <c r="E768" s="2"/>
      <c r="F768" s="2"/>
      <c r="G768" s="2"/>
      <c r="H768" s="2"/>
      <c r="I768" s="19"/>
    </row>
    <row r="769" ht="15.75" customHeight="1">
      <c r="A769" s="2"/>
      <c r="B769" s="2"/>
      <c r="C769" s="30"/>
      <c r="D769" s="2"/>
      <c r="E769" s="2"/>
      <c r="F769" s="2"/>
      <c r="G769" s="2"/>
      <c r="H769" s="2"/>
      <c r="I769" s="19"/>
    </row>
    <row r="770" ht="15.75" customHeight="1">
      <c r="A770" s="2"/>
      <c r="B770" s="2"/>
      <c r="C770" s="30"/>
      <c r="D770" s="2"/>
      <c r="E770" s="2"/>
      <c r="F770" s="2"/>
      <c r="G770" s="2"/>
      <c r="H770" s="2"/>
      <c r="I770" s="19"/>
    </row>
    <row r="771" ht="15.75" customHeight="1">
      <c r="A771" s="2"/>
      <c r="B771" s="2"/>
      <c r="C771" s="30"/>
      <c r="D771" s="2"/>
      <c r="E771" s="2"/>
      <c r="F771" s="2"/>
      <c r="G771" s="2"/>
      <c r="H771" s="2"/>
      <c r="I771" s="19"/>
    </row>
    <row r="772" ht="15.75" customHeight="1">
      <c r="A772" s="2"/>
      <c r="B772" s="2"/>
      <c r="C772" s="30"/>
      <c r="D772" s="2"/>
      <c r="E772" s="2"/>
      <c r="F772" s="2"/>
      <c r="G772" s="2"/>
      <c r="H772" s="2"/>
      <c r="I772" s="19"/>
    </row>
    <row r="773" ht="15.75" customHeight="1">
      <c r="A773" s="2"/>
      <c r="B773" s="2"/>
      <c r="C773" s="30"/>
      <c r="D773" s="2"/>
      <c r="E773" s="2"/>
      <c r="F773" s="2"/>
      <c r="G773" s="2"/>
      <c r="H773" s="2"/>
      <c r="I773" s="19"/>
    </row>
    <row r="774" ht="15.75" customHeight="1">
      <c r="A774" s="2"/>
      <c r="B774" s="2"/>
      <c r="C774" s="30"/>
      <c r="D774" s="2"/>
      <c r="E774" s="2"/>
      <c r="F774" s="2"/>
      <c r="G774" s="2"/>
      <c r="H774" s="2"/>
      <c r="I774" s="19"/>
    </row>
    <row r="775" ht="15.75" customHeight="1">
      <c r="A775" s="2"/>
      <c r="B775" s="2"/>
      <c r="C775" s="30"/>
      <c r="D775" s="2"/>
      <c r="E775" s="2"/>
      <c r="F775" s="2"/>
      <c r="G775" s="2"/>
      <c r="H775" s="2"/>
      <c r="I775" s="19"/>
    </row>
    <row r="776" ht="15.75" customHeight="1">
      <c r="A776" s="2"/>
      <c r="B776" s="2"/>
      <c r="C776" s="30"/>
      <c r="D776" s="2"/>
      <c r="E776" s="2"/>
      <c r="F776" s="2"/>
      <c r="G776" s="2"/>
      <c r="H776" s="2"/>
      <c r="I776" s="19"/>
    </row>
    <row r="777" ht="15.75" customHeight="1">
      <c r="A777" s="2"/>
      <c r="B777" s="2"/>
      <c r="C777" s="30"/>
      <c r="D777" s="2"/>
      <c r="E777" s="2"/>
      <c r="F777" s="2"/>
      <c r="G777" s="2"/>
      <c r="H777" s="2"/>
      <c r="I777" s="19"/>
    </row>
    <row r="778" ht="15.75" customHeight="1">
      <c r="A778" s="2"/>
      <c r="B778" s="2"/>
      <c r="C778" s="30"/>
      <c r="D778" s="2"/>
      <c r="E778" s="2"/>
      <c r="F778" s="2"/>
      <c r="G778" s="2"/>
      <c r="H778" s="2"/>
      <c r="I778" s="19"/>
    </row>
    <row r="779" ht="15.75" customHeight="1">
      <c r="A779" s="2"/>
      <c r="B779" s="2"/>
      <c r="C779" s="30"/>
      <c r="D779" s="2"/>
      <c r="E779" s="2"/>
      <c r="F779" s="2"/>
      <c r="G779" s="2"/>
      <c r="H779" s="2"/>
      <c r="I779" s="19"/>
    </row>
    <row r="780" ht="15.75" customHeight="1">
      <c r="A780" s="2"/>
      <c r="B780" s="2"/>
      <c r="C780" s="30"/>
      <c r="D780" s="2"/>
      <c r="E780" s="2"/>
      <c r="F780" s="2"/>
      <c r="G780" s="2"/>
      <c r="H780" s="2"/>
      <c r="I780" s="19"/>
    </row>
    <row r="781" ht="15.75" customHeight="1">
      <c r="A781" s="2"/>
      <c r="B781" s="2"/>
      <c r="C781" s="30"/>
      <c r="D781" s="2"/>
      <c r="E781" s="2"/>
      <c r="F781" s="2"/>
      <c r="G781" s="2"/>
      <c r="H781" s="2"/>
      <c r="I781" s="19"/>
    </row>
    <row r="782" ht="15.75" customHeight="1">
      <c r="A782" s="2"/>
      <c r="B782" s="2"/>
      <c r="C782" s="30"/>
      <c r="D782" s="2"/>
      <c r="E782" s="2"/>
      <c r="F782" s="2"/>
      <c r="G782" s="2"/>
      <c r="H782" s="2"/>
      <c r="I782" s="19"/>
    </row>
    <row r="783" ht="15.75" customHeight="1">
      <c r="A783" s="2"/>
      <c r="B783" s="2"/>
      <c r="C783" s="30"/>
      <c r="D783" s="2"/>
      <c r="E783" s="2"/>
      <c r="F783" s="2"/>
      <c r="G783" s="2"/>
      <c r="H783" s="2"/>
      <c r="I783" s="19"/>
    </row>
    <row r="784" ht="15.75" customHeight="1">
      <c r="A784" s="2"/>
      <c r="B784" s="2"/>
      <c r="C784" s="30"/>
      <c r="D784" s="2"/>
      <c r="E784" s="2"/>
      <c r="F784" s="2"/>
      <c r="G784" s="2"/>
      <c r="H784" s="2"/>
      <c r="I784" s="19"/>
    </row>
    <row r="785" ht="15.75" customHeight="1">
      <c r="A785" s="2"/>
      <c r="B785" s="2"/>
      <c r="C785" s="30"/>
      <c r="D785" s="2"/>
      <c r="E785" s="2"/>
      <c r="F785" s="2"/>
      <c r="G785" s="2"/>
      <c r="H785" s="2"/>
      <c r="I785" s="19"/>
    </row>
    <row r="786" ht="15.75" customHeight="1">
      <c r="A786" s="2"/>
      <c r="B786" s="2"/>
      <c r="C786" s="30"/>
      <c r="D786" s="2"/>
      <c r="E786" s="2"/>
      <c r="F786" s="2"/>
      <c r="G786" s="2"/>
      <c r="H786" s="2"/>
      <c r="I786" s="19"/>
    </row>
    <row r="787" ht="15.75" customHeight="1">
      <c r="A787" s="2"/>
      <c r="B787" s="2"/>
      <c r="C787" s="30"/>
      <c r="D787" s="2"/>
      <c r="E787" s="2"/>
      <c r="F787" s="2"/>
      <c r="G787" s="2"/>
      <c r="H787" s="2"/>
      <c r="I787" s="19"/>
    </row>
    <row r="788" ht="15.75" customHeight="1">
      <c r="A788" s="2"/>
      <c r="B788" s="2"/>
      <c r="C788" s="30"/>
      <c r="D788" s="2"/>
      <c r="E788" s="2"/>
      <c r="F788" s="2"/>
      <c r="G788" s="2"/>
      <c r="H788" s="2"/>
      <c r="I788" s="19"/>
    </row>
    <row r="789" ht="15.75" customHeight="1">
      <c r="A789" s="2"/>
      <c r="B789" s="2"/>
      <c r="C789" s="30"/>
      <c r="D789" s="2"/>
      <c r="E789" s="2"/>
      <c r="F789" s="2"/>
      <c r="G789" s="2"/>
      <c r="H789" s="2"/>
      <c r="I789" s="19"/>
    </row>
    <row r="790" ht="15.75" customHeight="1">
      <c r="A790" s="2"/>
      <c r="B790" s="2"/>
      <c r="C790" s="30"/>
      <c r="D790" s="2"/>
      <c r="E790" s="2"/>
      <c r="F790" s="2"/>
      <c r="G790" s="2"/>
      <c r="H790" s="2"/>
      <c r="I790" s="19"/>
    </row>
    <row r="791" ht="15.75" customHeight="1">
      <c r="A791" s="2"/>
      <c r="B791" s="2"/>
      <c r="C791" s="30"/>
      <c r="D791" s="2"/>
      <c r="E791" s="2"/>
      <c r="F791" s="2"/>
      <c r="G791" s="2"/>
      <c r="H791" s="2"/>
      <c r="I791" s="19"/>
    </row>
    <row r="792" ht="15.75" customHeight="1">
      <c r="A792" s="2"/>
      <c r="B792" s="2"/>
      <c r="C792" s="30"/>
      <c r="D792" s="2"/>
      <c r="E792" s="2"/>
      <c r="F792" s="2"/>
      <c r="G792" s="2"/>
      <c r="H792" s="2"/>
      <c r="I792" s="19"/>
    </row>
    <row r="793" ht="15.75" customHeight="1">
      <c r="A793" s="2"/>
      <c r="B793" s="2"/>
      <c r="C793" s="30"/>
      <c r="D793" s="2"/>
      <c r="E793" s="2"/>
      <c r="F793" s="2"/>
      <c r="G793" s="2"/>
      <c r="H793" s="2"/>
      <c r="I793" s="19"/>
    </row>
    <row r="794" ht="15.75" customHeight="1">
      <c r="A794" s="2"/>
      <c r="B794" s="2"/>
      <c r="C794" s="30"/>
      <c r="D794" s="2"/>
      <c r="E794" s="2"/>
      <c r="F794" s="2"/>
      <c r="G794" s="2"/>
      <c r="H794" s="2"/>
      <c r="I794" s="19"/>
    </row>
    <row r="795" ht="15.75" customHeight="1">
      <c r="A795" s="2"/>
      <c r="B795" s="2"/>
      <c r="C795" s="30"/>
      <c r="D795" s="2"/>
      <c r="E795" s="2"/>
      <c r="F795" s="2"/>
      <c r="G795" s="2"/>
      <c r="H795" s="2"/>
      <c r="I795" s="19"/>
    </row>
    <row r="796" ht="15.75" customHeight="1">
      <c r="A796" s="2"/>
      <c r="B796" s="2"/>
      <c r="C796" s="30"/>
      <c r="D796" s="2"/>
      <c r="E796" s="2"/>
      <c r="F796" s="2"/>
      <c r="G796" s="2"/>
      <c r="H796" s="2"/>
      <c r="I796" s="19"/>
    </row>
    <row r="797" ht="15.75" customHeight="1">
      <c r="A797" s="2"/>
      <c r="B797" s="2"/>
      <c r="C797" s="30"/>
      <c r="D797" s="2"/>
      <c r="E797" s="2"/>
      <c r="F797" s="2"/>
      <c r="G797" s="2"/>
      <c r="H797" s="2"/>
      <c r="I797" s="19"/>
    </row>
    <row r="798" ht="15.75" customHeight="1">
      <c r="A798" s="2"/>
      <c r="B798" s="2"/>
      <c r="C798" s="30"/>
      <c r="D798" s="2"/>
      <c r="E798" s="2"/>
      <c r="F798" s="2"/>
      <c r="G798" s="2"/>
      <c r="H798" s="2"/>
      <c r="I798" s="19"/>
    </row>
    <row r="799" ht="15.75" customHeight="1">
      <c r="A799" s="2"/>
      <c r="B799" s="2"/>
      <c r="C799" s="30"/>
      <c r="D799" s="2"/>
      <c r="E799" s="2"/>
      <c r="F799" s="2"/>
      <c r="G799" s="2"/>
      <c r="H799" s="2"/>
      <c r="I799" s="19"/>
    </row>
    <row r="800" ht="15.75" customHeight="1">
      <c r="A800" s="2"/>
      <c r="B800" s="2"/>
      <c r="C800" s="30"/>
      <c r="D800" s="2"/>
      <c r="E800" s="2"/>
      <c r="F800" s="2"/>
      <c r="G800" s="2"/>
      <c r="H800" s="2"/>
      <c r="I800" s="19"/>
    </row>
    <row r="801" ht="15.75" customHeight="1">
      <c r="A801" s="2"/>
      <c r="B801" s="2"/>
      <c r="C801" s="30"/>
      <c r="D801" s="2"/>
      <c r="E801" s="2"/>
      <c r="F801" s="2"/>
      <c r="G801" s="2"/>
      <c r="H801" s="2"/>
      <c r="I801" s="19"/>
    </row>
    <row r="802" ht="15.75" customHeight="1">
      <c r="A802" s="2"/>
      <c r="B802" s="2"/>
      <c r="C802" s="30"/>
      <c r="D802" s="2"/>
      <c r="E802" s="2"/>
      <c r="F802" s="2"/>
      <c r="G802" s="2"/>
      <c r="H802" s="2"/>
      <c r="I802" s="19"/>
    </row>
    <row r="803" ht="15.75" customHeight="1">
      <c r="A803" s="2"/>
      <c r="B803" s="2"/>
      <c r="C803" s="30"/>
      <c r="D803" s="2"/>
      <c r="E803" s="2"/>
      <c r="F803" s="2"/>
      <c r="G803" s="2"/>
      <c r="H803" s="2"/>
      <c r="I803" s="19"/>
    </row>
    <row r="804" ht="15.75" customHeight="1">
      <c r="A804" s="2"/>
      <c r="B804" s="2"/>
      <c r="C804" s="30"/>
      <c r="D804" s="2"/>
      <c r="E804" s="2"/>
      <c r="F804" s="2"/>
      <c r="G804" s="2"/>
      <c r="H804" s="2"/>
      <c r="I804" s="19"/>
    </row>
    <row r="805" ht="15.75" customHeight="1">
      <c r="A805" s="2"/>
      <c r="B805" s="2"/>
      <c r="C805" s="30"/>
      <c r="D805" s="2"/>
      <c r="E805" s="2"/>
      <c r="F805" s="2"/>
      <c r="G805" s="2"/>
      <c r="H805" s="2"/>
      <c r="I805" s="19"/>
    </row>
    <row r="806" ht="15.75" customHeight="1">
      <c r="A806" s="2"/>
      <c r="B806" s="2"/>
      <c r="C806" s="30"/>
      <c r="D806" s="2"/>
      <c r="E806" s="2"/>
      <c r="F806" s="2"/>
      <c r="G806" s="2"/>
      <c r="H806" s="2"/>
      <c r="I806" s="19"/>
    </row>
    <row r="807" ht="15.75" customHeight="1">
      <c r="A807" s="2"/>
      <c r="B807" s="2"/>
      <c r="C807" s="30"/>
      <c r="D807" s="2"/>
      <c r="E807" s="2"/>
      <c r="F807" s="2"/>
      <c r="G807" s="2"/>
      <c r="H807" s="2"/>
      <c r="I807" s="19"/>
    </row>
    <row r="808" ht="15.75" customHeight="1">
      <c r="A808" s="2"/>
      <c r="B808" s="2"/>
      <c r="C808" s="30"/>
      <c r="D808" s="2"/>
      <c r="E808" s="2"/>
      <c r="F808" s="2"/>
      <c r="G808" s="2"/>
      <c r="H808" s="2"/>
      <c r="I808" s="19"/>
    </row>
    <row r="809" ht="15.75" customHeight="1">
      <c r="A809" s="2"/>
      <c r="B809" s="2"/>
      <c r="C809" s="30"/>
      <c r="D809" s="2"/>
      <c r="E809" s="2"/>
      <c r="F809" s="2"/>
      <c r="G809" s="2"/>
      <c r="H809" s="2"/>
      <c r="I809" s="19"/>
    </row>
    <row r="810" ht="15.75" customHeight="1">
      <c r="A810" s="2"/>
      <c r="B810" s="2"/>
      <c r="C810" s="30"/>
      <c r="D810" s="2"/>
      <c r="E810" s="2"/>
      <c r="F810" s="2"/>
      <c r="G810" s="2"/>
      <c r="H810" s="2"/>
      <c r="I810" s="19"/>
    </row>
    <row r="811" ht="15.75" customHeight="1">
      <c r="A811" s="2"/>
      <c r="B811" s="2"/>
      <c r="C811" s="30"/>
      <c r="D811" s="2"/>
      <c r="E811" s="2"/>
      <c r="F811" s="2"/>
      <c r="G811" s="2"/>
      <c r="H811" s="2"/>
      <c r="I811" s="19"/>
    </row>
    <row r="812" ht="15.75" customHeight="1">
      <c r="A812" s="2"/>
      <c r="B812" s="2"/>
      <c r="C812" s="30"/>
      <c r="D812" s="2"/>
      <c r="E812" s="2"/>
      <c r="F812" s="2"/>
      <c r="G812" s="2"/>
      <c r="H812" s="2"/>
      <c r="I812" s="19"/>
    </row>
    <row r="813" ht="15.75" customHeight="1">
      <c r="A813" s="2"/>
      <c r="B813" s="2"/>
      <c r="C813" s="30"/>
      <c r="D813" s="2"/>
      <c r="E813" s="2"/>
      <c r="F813" s="2"/>
      <c r="G813" s="2"/>
      <c r="H813" s="2"/>
      <c r="I813" s="19"/>
    </row>
    <row r="814" ht="15.75" customHeight="1">
      <c r="A814" s="2"/>
      <c r="B814" s="2"/>
      <c r="C814" s="30"/>
      <c r="D814" s="2"/>
      <c r="E814" s="2"/>
      <c r="F814" s="2"/>
      <c r="G814" s="2"/>
      <c r="H814" s="2"/>
      <c r="I814" s="19"/>
    </row>
    <row r="815" ht="15.75" customHeight="1">
      <c r="A815" s="2"/>
      <c r="B815" s="2"/>
      <c r="C815" s="30"/>
      <c r="D815" s="2"/>
      <c r="E815" s="2"/>
      <c r="F815" s="2"/>
      <c r="G815" s="2"/>
      <c r="H815" s="2"/>
      <c r="I815" s="19"/>
    </row>
    <row r="816" ht="15.75" customHeight="1">
      <c r="A816" s="2"/>
      <c r="B816" s="2"/>
      <c r="C816" s="30"/>
      <c r="D816" s="2"/>
      <c r="E816" s="2"/>
      <c r="F816" s="2"/>
      <c r="G816" s="2"/>
      <c r="H816" s="2"/>
      <c r="I816" s="19"/>
    </row>
    <row r="817" ht="15.75" customHeight="1">
      <c r="A817" s="2"/>
      <c r="B817" s="2"/>
      <c r="C817" s="30"/>
      <c r="D817" s="2"/>
      <c r="E817" s="2"/>
      <c r="F817" s="2"/>
      <c r="G817" s="2"/>
      <c r="H817" s="2"/>
      <c r="I817" s="19"/>
    </row>
    <row r="818" ht="15.75" customHeight="1">
      <c r="A818" s="2"/>
      <c r="B818" s="2"/>
      <c r="C818" s="30"/>
      <c r="D818" s="2"/>
      <c r="E818" s="2"/>
      <c r="F818" s="2"/>
      <c r="G818" s="2"/>
      <c r="H818" s="2"/>
      <c r="I818" s="19"/>
    </row>
    <row r="819" ht="15.75" customHeight="1">
      <c r="A819" s="2"/>
      <c r="B819" s="2"/>
      <c r="C819" s="30"/>
      <c r="D819" s="2"/>
      <c r="E819" s="2"/>
      <c r="F819" s="2"/>
      <c r="G819" s="2"/>
      <c r="H819" s="2"/>
      <c r="I819" s="19"/>
    </row>
    <row r="820" ht="15.75" customHeight="1">
      <c r="A820" s="2"/>
      <c r="B820" s="2"/>
      <c r="C820" s="30"/>
      <c r="D820" s="2"/>
      <c r="E820" s="2"/>
      <c r="F820" s="2"/>
      <c r="G820" s="2"/>
      <c r="H820" s="2"/>
      <c r="I820" s="19"/>
    </row>
    <row r="821" ht="15.75" customHeight="1">
      <c r="A821" s="2"/>
      <c r="B821" s="2"/>
      <c r="C821" s="30"/>
      <c r="D821" s="2"/>
      <c r="E821" s="2"/>
      <c r="F821" s="2"/>
      <c r="G821" s="2"/>
      <c r="H821" s="2"/>
      <c r="I821" s="19"/>
    </row>
    <row r="822" ht="15.75" customHeight="1">
      <c r="A822" s="2"/>
      <c r="B822" s="2"/>
      <c r="C822" s="30"/>
      <c r="D822" s="2"/>
      <c r="E822" s="2"/>
      <c r="F822" s="2"/>
      <c r="G822" s="2"/>
      <c r="H822" s="2"/>
      <c r="I822" s="19"/>
    </row>
    <row r="823" ht="15.75" customHeight="1">
      <c r="A823" s="2"/>
      <c r="B823" s="2"/>
      <c r="C823" s="30"/>
      <c r="D823" s="2"/>
      <c r="E823" s="2"/>
      <c r="F823" s="2"/>
      <c r="G823" s="2"/>
      <c r="H823" s="2"/>
      <c r="I823" s="19"/>
    </row>
    <row r="824" ht="15.75" customHeight="1">
      <c r="A824" s="2"/>
      <c r="B824" s="2"/>
      <c r="C824" s="30"/>
      <c r="D824" s="2"/>
      <c r="E824" s="2"/>
      <c r="F824" s="2"/>
      <c r="G824" s="2"/>
      <c r="H824" s="2"/>
      <c r="I824" s="19"/>
    </row>
    <row r="825" ht="15.75" customHeight="1">
      <c r="A825" s="2"/>
      <c r="B825" s="2"/>
      <c r="C825" s="30"/>
      <c r="D825" s="2"/>
      <c r="E825" s="2"/>
      <c r="F825" s="2"/>
      <c r="G825" s="2"/>
      <c r="H825" s="2"/>
      <c r="I825" s="19"/>
    </row>
    <row r="826" ht="15.75" customHeight="1">
      <c r="A826" s="2"/>
      <c r="B826" s="2"/>
      <c r="C826" s="30"/>
      <c r="D826" s="2"/>
      <c r="E826" s="2"/>
      <c r="F826" s="2"/>
      <c r="G826" s="2"/>
      <c r="H826" s="2"/>
      <c r="I826" s="19"/>
    </row>
    <row r="827" ht="15.75" customHeight="1">
      <c r="A827" s="2"/>
      <c r="B827" s="2"/>
      <c r="C827" s="30"/>
      <c r="D827" s="2"/>
      <c r="E827" s="2"/>
      <c r="F827" s="2"/>
      <c r="G827" s="2"/>
      <c r="H827" s="2"/>
      <c r="I827" s="19"/>
    </row>
    <row r="828" ht="15.75" customHeight="1">
      <c r="A828" s="2"/>
      <c r="B828" s="2"/>
      <c r="C828" s="30"/>
      <c r="D828" s="2"/>
      <c r="E828" s="2"/>
      <c r="F828" s="2"/>
      <c r="G828" s="2"/>
      <c r="H828" s="2"/>
      <c r="I828" s="19"/>
    </row>
    <row r="829" ht="15.75" customHeight="1">
      <c r="A829" s="2"/>
      <c r="B829" s="2"/>
      <c r="C829" s="30"/>
      <c r="D829" s="2"/>
      <c r="E829" s="2"/>
      <c r="F829" s="2"/>
      <c r="G829" s="2"/>
      <c r="H829" s="2"/>
      <c r="I829" s="19"/>
    </row>
    <row r="830" ht="15.75" customHeight="1">
      <c r="A830" s="2"/>
      <c r="B830" s="2"/>
      <c r="C830" s="30"/>
      <c r="D830" s="2"/>
      <c r="E830" s="2"/>
      <c r="F830" s="2"/>
      <c r="G830" s="2"/>
      <c r="H830" s="2"/>
      <c r="I830" s="19"/>
    </row>
    <row r="831" ht="15.75" customHeight="1">
      <c r="A831" s="2"/>
      <c r="B831" s="2"/>
      <c r="C831" s="30"/>
      <c r="D831" s="2"/>
      <c r="E831" s="2"/>
      <c r="F831" s="2"/>
      <c r="G831" s="2"/>
      <c r="H831" s="2"/>
      <c r="I831" s="19"/>
    </row>
    <row r="832" ht="15.75" customHeight="1">
      <c r="A832" s="2"/>
      <c r="B832" s="2"/>
      <c r="C832" s="30"/>
      <c r="D832" s="2"/>
      <c r="E832" s="2"/>
      <c r="F832" s="2"/>
      <c r="G832" s="2"/>
      <c r="H832" s="2"/>
      <c r="I832" s="19"/>
    </row>
    <row r="833" ht="15.75" customHeight="1">
      <c r="A833" s="2"/>
      <c r="B833" s="2"/>
      <c r="C833" s="30"/>
      <c r="D833" s="2"/>
      <c r="E833" s="2"/>
      <c r="F833" s="2"/>
      <c r="G833" s="2"/>
      <c r="H833" s="2"/>
      <c r="I833" s="19"/>
    </row>
    <row r="834" ht="15.75" customHeight="1">
      <c r="A834" s="2"/>
      <c r="B834" s="2"/>
      <c r="C834" s="30"/>
      <c r="D834" s="2"/>
      <c r="E834" s="2"/>
      <c r="F834" s="2"/>
      <c r="G834" s="2"/>
      <c r="H834" s="2"/>
      <c r="I834" s="19"/>
    </row>
    <row r="835" ht="15.75" customHeight="1">
      <c r="A835" s="2"/>
      <c r="B835" s="2"/>
      <c r="C835" s="30"/>
      <c r="D835" s="2"/>
      <c r="E835" s="2"/>
      <c r="F835" s="2"/>
      <c r="G835" s="2"/>
      <c r="H835" s="2"/>
      <c r="I835" s="19"/>
    </row>
    <row r="836" ht="15.75" customHeight="1">
      <c r="A836" s="2"/>
      <c r="B836" s="2"/>
      <c r="C836" s="30"/>
      <c r="D836" s="2"/>
      <c r="E836" s="2"/>
      <c r="F836" s="2"/>
      <c r="G836" s="2"/>
      <c r="H836" s="2"/>
      <c r="I836" s="19"/>
    </row>
    <row r="837" ht="15.75" customHeight="1">
      <c r="A837" s="2"/>
      <c r="B837" s="2"/>
      <c r="C837" s="30"/>
      <c r="D837" s="2"/>
      <c r="E837" s="2"/>
      <c r="F837" s="2"/>
      <c r="G837" s="2"/>
      <c r="H837" s="2"/>
      <c r="I837" s="19"/>
    </row>
    <row r="838" ht="15.75" customHeight="1">
      <c r="A838" s="2"/>
      <c r="B838" s="2"/>
      <c r="C838" s="30"/>
      <c r="D838" s="2"/>
      <c r="E838" s="2"/>
      <c r="F838" s="2"/>
      <c r="G838" s="2"/>
      <c r="H838" s="2"/>
      <c r="I838" s="19"/>
    </row>
    <row r="839" ht="15.75" customHeight="1">
      <c r="A839" s="2"/>
      <c r="B839" s="2"/>
      <c r="C839" s="30"/>
      <c r="D839" s="2"/>
      <c r="E839" s="2"/>
      <c r="F839" s="2"/>
      <c r="G839" s="2"/>
      <c r="H839" s="2"/>
      <c r="I839" s="19"/>
    </row>
    <row r="840" ht="15.75" customHeight="1">
      <c r="A840" s="2"/>
      <c r="B840" s="2"/>
      <c r="C840" s="30"/>
      <c r="D840" s="2"/>
      <c r="E840" s="2"/>
      <c r="F840" s="2"/>
      <c r="G840" s="2"/>
      <c r="H840" s="2"/>
      <c r="I840" s="19"/>
    </row>
    <row r="841" ht="15.75" customHeight="1">
      <c r="A841" s="2"/>
      <c r="B841" s="2"/>
      <c r="C841" s="30"/>
      <c r="D841" s="2"/>
      <c r="E841" s="2"/>
      <c r="F841" s="2"/>
      <c r="G841" s="2"/>
      <c r="H841" s="2"/>
      <c r="I841" s="19"/>
    </row>
    <row r="842" ht="15.75" customHeight="1">
      <c r="A842" s="2"/>
      <c r="B842" s="2"/>
      <c r="C842" s="30"/>
      <c r="D842" s="2"/>
      <c r="E842" s="2"/>
      <c r="F842" s="2"/>
      <c r="G842" s="2"/>
      <c r="H842" s="2"/>
      <c r="I842" s="19"/>
    </row>
    <row r="843" ht="15.75" customHeight="1">
      <c r="A843" s="2"/>
      <c r="B843" s="2"/>
      <c r="C843" s="30"/>
      <c r="D843" s="2"/>
      <c r="E843" s="2"/>
      <c r="F843" s="2"/>
      <c r="G843" s="2"/>
      <c r="H843" s="2"/>
      <c r="I843" s="19"/>
    </row>
    <row r="844" ht="15.75" customHeight="1">
      <c r="A844" s="2"/>
      <c r="B844" s="2"/>
      <c r="C844" s="30"/>
      <c r="D844" s="2"/>
      <c r="E844" s="2"/>
      <c r="F844" s="2"/>
      <c r="G844" s="2"/>
      <c r="H844" s="2"/>
      <c r="I844" s="19"/>
    </row>
    <row r="845" ht="15.75" customHeight="1">
      <c r="A845" s="2"/>
      <c r="B845" s="2"/>
      <c r="C845" s="30"/>
      <c r="D845" s="2"/>
      <c r="E845" s="2"/>
      <c r="F845" s="2"/>
      <c r="G845" s="2"/>
      <c r="H845" s="2"/>
      <c r="I845" s="19"/>
    </row>
    <row r="846" ht="15.75" customHeight="1">
      <c r="A846" s="2"/>
      <c r="B846" s="2"/>
      <c r="C846" s="30"/>
      <c r="D846" s="2"/>
      <c r="E846" s="2"/>
      <c r="F846" s="2"/>
      <c r="G846" s="2"/>
      <c r="H846" s="2"/>
      <c r="I846" s="19"/>
    </row>
    <row r="847" ht="15.75" customHeight="1">
      <c r="A847" s="2"/>
      <c r="B847" s="2"/>
      <c r="C847" s="30"/>
      <c r="D847" s="2"/>
      <c r="E847" s="2"/>
      <c r="F847" s="2"/>
      <c r="G847" s="2"/>
      <c r="H847" s="2"/>
      <c r="I847" s="19"/>
    </row>
    <row r="848" ht="15.75" customHeight="1">
      <c r="A848" s="2"/>
      <c r="B848" s="2"/>
      <c r="C848" s="30"/>
      <c r="D848" s="2"/>
      <c r="E848" s="2"/>
      <c r="F848" s="2"/>
      <c r="G848" s="2"/>
      <c r="H848" s="2"/>
      <c r="I848" s="19"/>
    </row>
    <row r="849" ht="15.75" customHeight="1">
      <c r="A849" s="2"/>
      <c r="B849" s="2"/>
      <c r="C849" s="30"/>
      <c r="D849" s="2"/>
      <c r="E849" s="2"/>
      <c r="F849" s="2"/>
      <c r="G849" s="2"/>
      <c r="H849" s="2"/>
      <c r="I849" s="19"/>
    </row>
    <row r="850" ht="15.75" customHeight="1">
      <c r="A850" s="2"/>
      <c r="B850" s="2"/>
      <c r="C850" s="30"/>
      <c r="D850" s="2"/>
      <c r="E850" s="2"/>
      <c r="F850" s="2"/>
      <c r="G850" s="2"/>
      <c r="H850" s="2"/>
      <c r="I850" s="19"/>
    </row>
    <row r="851" ht="15.75" customHeight="1">
      <c r="A851" s="2"/>
      <c r="B851" s="2"/>
      <c r="C851" s="30"/>
      <c r="D851" s="2"/>
      <c r="E851" s="2"/>
      <c r="F851" s="2"/>
      <c r="G851" s="2"/>
      <c r="H851" s="2"/>
      <c r="I851" s="19"/>
    </row>
    <row r="852" ht="15.75" customHeight="1">
      <c r="A852" s="2"/>
      <c r="B852" s="2"/>
      <c r="C852" s="30"/>
      <c r="D852" s="2"/>
      <c r="E852" s="2"/>
      <c r="F852" s="2"/>
      <c r="G852" s="2"/>
      <c r="H852" s="2"/>
      <c r="I852" s="19"/>
    </row>
    <row r="853" ht="15.75" customHeight="1">
      <c r="A853" s="2"/>
      <c r="B853" s="2"/>
      <c r="C853" s="30"/>
      <c r="D853" s="2"/>
      <c r="E853" s="2"/>
      <c r="F853" s="2"/>
      <c r="G853" s="2"/>
      <c r="H853" s="2"/>
      <c r="I853" s="19"/>
    </row>
    <row r="854" ht="15.75" customHeight="1">
      <c r="A854" s="2"/>
      <c r="B854" s="2"/>
      <c r="C854" s="30"/>
      <c r="D854" s="2"/>
      <c r="E854" s="2"/>
      <c r="F854" s="2"/>
      <c r="G854" s="2"/>
      <c r="H854" s="2"/>
      <c r="I854" s="19"/>
    </row>
    <row r="855" ht="15.75" customHeight="1">
      <c r="A855" s="2"/>
      <c r="B855" s="2"/>
      <c r="C855" s="30"/>
      <c r="D855" s="2"/>
      <c r="E855" s="2"/>
      <c r="F855" s="2"/>
      <c r="G855" s="2"/>
      <c r="H855" s="2"/>
      <c r="I855" s="19"/>
    </row>
    <row r="856" ht="15.75" customHeight="1">
      <c r="A856" s="2"/>
      <c r="B856" s="2"/>
      <c r="C856" s="30"/>
      <c r="D856" s="2"/>
      <c r="E856" s="2"/>
      <c r="F856" s="2"/>
      <c r="G856" s="2"/>
      <c r="H856" s="2"/>
      <c r="I856" s="19"/>
    </row>
    <row r="857" ht="15.75" customHeight="1">
      <c r="A857" s="2"/>
      <c r="B857" s="2"/>
      <c r="C857" s="30"/>
      <c r="D857" s="2"/>
      <c r="E857" s="2"/>
      <c r="F857" s="2"/>
      <c r="G857" s="2"/>
      <c r="H857" s="2"/>
      <c r="I857" s="19"/>
    </row>
    <row r="858" ht="15.75" customHeight="1">
      <c r="A858" s="2"/>
      <c r="B858" s="2"/>
      <c r="C858" s="30"/>
      <c r="D858" s="2"/>
      <c r="E858" s="2"/>
      <c r="F858" s="2"/>
      <c r="G858" s="2"/>
      <c r="H858" s="2"/>
      <c r="I858" s="19"/>
    </row>
    <row r="859" ht="15.75" customHeight="1">
      <c r="A859" s="2"/>
      <c r="B859" s="2"/>
      <c r="C859" s="30"/>
      <c r="D859" s="2"/>
      <c r="E859" s="2"/>
      <c r="F859" s="2"/>
      <c r="G859" s="2"/>
      <c r="H859" s="2"/>
      <c r="I859" s="19"/>
    </row>
    <row r="860" ht="15.75" customHeight="1">
      <c r="A860" s="2"/>
      <c r="B860" s="2"/>
      <c r="C860" s="30"/>
      <c r="D860" s="2"/>
      <c r="E860" s="2"/>
      <c r="F860" s="2"/>
      <c r="G860" s="2"/>
      <c r="H860" s="2"/>
      <c r="I860" s="19"/>
    </row>
    <row r="861" ht="15.75" customHeight="1">
      <c r="A861" s="2"/>
      <c r="B861" s="2"/>
      <c r="C861" s="30"/>
      <c r="D861" s="2"/>
      <c r="E861" s="2"/>
      <c r="F861" s="2"/>
      <c r="G861" s="2"/>
      <c r="H861" s="2"/>
      <c r="I861" s="19"/>
    </row>
    <row r="862" ht="15.75" customHeight="1">
      <c r="A862" s="2"/>
      <c r="B862" s="2"/>
      <c r="C862" s="30"/>
      <c r="D862" s="2"/>
      <c r="E862" s="2"/>
      <c r="F862" s="2"/>
      <c r="G862" s="2"/>
      <c r="H862" s="2"/>
      <c r="I862" s="19"/>
    </row>
    <row r="863" ht="15.75" customHeight="1">
      <c r="A863" s="2"/>
      <c r="B863" s="2"/>
      <c r="C863" s="30"/>
      <c r="D863" s="2"/>
      <c r="E863" s="2"/>
      <c r="F863" s="2"/>
      <c r="G863" s="2"/>
      <c r="H863" s="2"/>
      <c r="I863" s="19"/>
    </row>
    <row r="864" ht="15.75" customHeight="1">
      <c r="A864" s="2"/>
      <c r="B864" s="2"/>
      <c r="C864" s="30"/>
      <c r="D864" s="2"/>
      <c r="E864" s="2"/>
      <c r="F864" s="2"/>
      <c r="G864" s="2"/>
      <c r="H864" s="2"/>
      <c r="I864" s="19"/>
    </row>
    <row r="865" ht="15.75" customHeight="1">
      <c r="A865" s="2"/>
      <c r="B865" s="2"/>
      <c r="C865" s="30"/>
      <c r="D865" s="2"/>
      <c r="E865" s="2"/>
      <c r="F865" s="2"/>
      <c r="G865" s="2"/>
      <c r="H865" s="2"/>
      <c r="I865" s="19"/>
    </row>
    <row r="866" ht="15.75" customHeight="1">
      <c r="A866" s="2"/>
      <c r="B866" s="2"/>
      <c r="C866" s="30"/>
      <c r="D866" s="2"/>
      <c r="E866" s="2"/>
      <c r="F866" s="2"/>
      <c r="G866" s="2"/>
      <c r="H866" s="2"/>
      <c r="I866" s="19"/>
    </row>
    <row r="867" ht="15.75" customHeight="1">
      <c r="A867" s="2"/>
      <c r="B867" s="2"/>
      <c r="C867" s="30"/>
      <c r="D867" s="2"/>
      <c r="E867" s="2"/>
      <c r="F867" s="2"/>
      <c r="G867" s="2"/>
      <c r="H867" s="2"/>
      <c r="I867" s="19"/>
    </row>
    <row r="868" ht="15.75" customHeight="1">
      <c r="A868" s="2"/>
      <c r="B868" s="2"/>
      <c r="C868" s="30"/>
      <c r="D868" s="2"/>
      <c r="E868" s="2"/>
      <c r="F868" s="2"/>
      <c r="G868" s="2"/>
      <c r="H868" s="2"/>
      <c r="I868" s="19"/>
    </row>
    <row r="869" ht="15.75" customHeight="1">
      <c r="A869" s="2"/>
      <c r="B869" s="2"/>
      <c r="C869" s="30"/>
      <c r="D869" s="2"/>
      <c r="E869" s="2"/>
      <c r="F869" s="2"/>
      <c r="G869" s="2"/>
      <c r="H869" s="2"/>
      <c r="I869" s="19"/>
    </row>
    <row r="870" ht="15.75" customHeight="1">
      <c r="A870" s="2"/>
      <c r="B870" s="2"/>
      <c r="C870" s="30"/>
      <c r="D870" s="2"/>
      <c r="E870" s="2"/>
      <c r="F870" s="2"/>
      <c r="G870" s="2"/>
      <c r="H870" s="2"/>
      <c r="I870" s="19"/>
    </row>
    <row r="871" ht="15.75" customHeight="1">
      <c r="A871" s="2"/>
      <c r="B871" s="2"/>
      <c r="C871" s="30"/>
      <c r="D871" s="2"/>
      <c r="E871" s="2"/>
      <c r="F871" s="2"/>
      <c r="G871" s="2"/>
      <c r="H871" s="2"/>
      <c r="I871" s="19"/>
    </row>
    <row r="872" ht="15.75" customHeight="1">
      <c r="A872" s="2"/>
      <c r="B872" s="2"/>
      <c r="C872" s="30"/>
      <c r="D872" s="2"/>
      <c r="E872" s="2"/>
      <c r="F872" s="2"/>
      <c r="G872" s="2"/>
      <c r="H872" s="2"/>
      <c r="I872" s="19"/>
    </row>
    <row r="873" ht="15.75" customHeight="1">
      <c r="A873" s="2"/>
      <c r="B873" s="2"/>
      <c r="C873" s="30"/>
      <c r="D873" s="2"/>
      <c r="E873" s="2"/>
      <c r="F873" s="2"/>
      <c r="G873" s="2"/>
      <c r="H873" s="2"/>
      <c r="I873" s="19"/>
    </row>
    <row r="874" ht="15.75" customHeight="1">
      <c r="A874" s="2"/>
      <c r="B874" s="2"/>
      <c r="C874" s="30"/>
      <c r="D874" s="2"/>
      <c r="E874" s="2"/>
      <c r="F874" s="2"/>
      <c r="G874" s="2"/>
      <c r="H874" s="2"/>
      <c r="I874" s="19"/>
    </row>
    <row r="875" ht="15.75" customHeight="1">
      <c r="A875" s="2"/>
      <c r="B875" s="2"/>
      <c r="C875" s="30"/>
      <c r="D875" s="2"/>
      <c r="E875" s="2"/>
      <c r="F875" s="2"/>
      <c r="G875" s="2"/>
      <c r="H875" s="2"/>
      <c r="I875" s="19"/>
    </row>
    <row r="876" ht="15.75" customHeight="1">
      <c r="A876" s="2"/>
      <c r="B876" s="2"/>
      <c r="C876" s="30"/>
      <c r="D876" s="2"/>
      <c r="E876" s="2"/>
      <c r="F876" s="2"/>
      <c r="G876" s="2"/>
      <c r="H876" s="2"/>
      <c r="I876" s="19"/>
    </row>
    <row r="877" ht="15.75" customHeight="1">
      <c r="A877" s="2"/>
      <c r="B877" s="2"/>
      <c r="C877" s="30"/>
      <c r="D877" s="2"/>
      <c r="E877" s="2"/>
      <c r="F877" s="2"/>
      <c r="G877" s="2"/>
      <c r="H877" s="2"/>
      <c r="I877" s="19"/>
    </row>
    <row r="878" ht="15.75" customHeight="1">
      <c r="A878" s="2"/>
      <c r="B878" s="2"/>
      <c r="C878" s="30"/>
      <c r="D878" s="2"/>
      <c r="E878" s="2"/>
      <c r="F878" s="2"/>
      <c r="G878" s="2"/>
      <c r="H878" s="2"/>
      <c r="I878" s="19"/>
    </row>
    <row r="879" ht="15.75" customHeight="1">
      <c r="A879" s="2"/>
      <c r="B879" s="2"/>
      <c r="C879" s="30"/>
      <c r="D879" s="2"/>
      <c r="E879" s="2"/>
      <c r="F879" s="2"/>
      <c r="G879" s="2"/>
      <c r="H879" s="2"/>
      <c r="I879" s="19"/>
    </row>
    <row r="880" ht="15.75" customHeight="1">
      <c r="A880" s="2"/>
      <c r="B880" s="2"/>
      <c r="C880" s="30"/>
      <c r="D880" s="2"/>
      <c r="E880" s="2"/>
      <c r="F880" s="2"/>
      <c r="G880" s="2"/>
      <c r="H880" s="2"/>
      <c r="I880" s="19"/>
    </row>
    <row r="881" ht="15.75" customHeight="1">
      <c r="A881" s="2"/>
      <c r="B881" s="2"/>
      <c r="C881" s="30"/>
      <c r="D881" s="2"/>
      <c r="E881" s="2"/>
      <c r="F881" s="2"/>
      <c r="G881" s="2"/>
      <c r="H881" s="2"/>
      <c r="I881" s="19"/>
    </row>
    <row r="882" ht="15.75" customHeight="1">
      <c r="A882" s="2"/>
      <c r="B882" s="2"/>
      <c r="C882" s="30"/>
      <c r="D882" s="2"/>
      <c r="E882" s="2"/>
      <c r="F882" s="2"/>
      <c r="G882" s="2"/>
      <c r="H882" s="2"/>
      <c r="I882" s="19"/>
    </row>
    <row r="883" ht="15.75" customHeight="1">
      <c r="A883" s="2"/>
      <c r="B883" s="2"/>
      <c r="C883" s="30"/>
      <c r="D883" s="2"/>
      <c r="E883" s="2"/>
      <c r="F883" s="2"/>
      <c r="G883" s="2"/>
      <c r="H883" s="2"/>
      <c r="I883" s="19"/>
    </row>
    <row r="884" ht="15.75" customHeight="1">
      <c r="A884" s="2"/>
      <c r="B884" s="2"/>
      <c r="C884" s="30"/>
      <c r="D884" s="2"/>
      <c r="E884" s="2"/>
      <c r="F884" s="2"/>
      <c r="G884" s="2"/>
      <c r="H884" s="2"/>
      <c r="I884" s="19"/>
    </row>
    <row r="885" ht="15.75" customHeight="1">
      <c r="A885" s="2"/>
      <c r="B885" s="2"/>
      <c r="C885" s="30"/>
      <c r="D885" s="2"/>
      <c r="E885" s="2"/>
      <c r="F885" s="2"/>
      <c r="G885" s="2"/>
      <c r="H885" s="2"/>
      <c r="I885" s="19"/>
    </row>
    <row r="886" ht="15.75" customHeight="1">
      <c r="A886" s="2"/>
      <c r="B886" s="2"/>
      <c r="C886" s="30"/>
      <c r="D886" s="2"/>
      <c r="E886" s="2"/>
      <c r="F886" s="2"/>
      <c r="G886" s="2"/>
      <c r="H886" s="2"/>
      <c r="I886" s="19"/>
    </row>
    <row r="887" ht="15.75" customHeight="1">
      <c r="A887" s="2"/>
      <c r="B887" s="2"/>
      <c r="C887" s="30"/>
      <c r="D887" s="2"/>
      <c r="E887" s="2"/>
      <c r="F887" s="2"/>
      <c r="G887" s="2"/>
      <c r="H887" s="2"/>
      <c r="I887" s="19"/>
    </row>
    <row r="888" ht="15.75" customHeight="1">
      <c r="A888" s="2"/>
      <c r="B888" s="2"/>
      <c r="C888" s="30"/>
      <c r="D888" s="2"/>
      <c r="E888" s="2"/>
      <c r="F888" s="2"/>
      <c r="G888" s="2"/>
      <c r="H888" s="2"/>
      <c r="I888" s="19"/>
    </row>
    <row r="889" ht="15.75" customHeight="1">
      <c r="A889" s="2"/>
      <c r="B889" s="2"/>
      <c r="C889" s="30"/>
      <c r="D889" s="2"/>
      <c r="E889" s="2"/>
      <c r="F889" s="2"/>
      <c r="G889" s="2"/>
      <c r="H889" s="2"/>
      <c r="I889" s="19"/>
    </row>
    <row r="890" ht="15.75" customHeight="1">
      <c r="A890" s="2"/>
      <c r="B890" s="2"/>
      <c r="C890" s="30"/>
      <c r="D890" s="2"/>
      <c r="E890" s="2"/>
      <c r="F890" s="2"/>
      <c r="G890" s="2"/>
      <c r="H890" s="2"/>
      <c r="I890" s="19"/>
    </row>
    <row r="891" ht="15.75" customHeight="1">
      <c r="A891" s="2"/>
      <c r="B891" s="2"/>
      <c r="C891" s="30"/>
      <c r="D891" s="2"/>
      <c r="E891" s="2"/>
      <c r="F891" s="2"/>
      <c r="G891" s="2"/>
      <c r="H891" s="2"/>
      <c r="I891" s="19"/>
    </row>
    <row r="892" ht="15.75" customHeight="1">
      <c r="A892" s="2"/>
      <c r="B892" s="2"/>
      <c r="C892" s="30"/>
      <c r="D892" s="2"/>
      <c r="E892" s="2"/>
      <c r="F892" s="2"/>
      <c r="G892" s="2"/>
      <c r="H892" s="2"/>
      <c r="I892" s="19"/>
    </row>
    <row r="893" ht="15.75" customHeight="1">
      <c r="A893" s="2"/>
      <c r="B893" s="2"/>
      <c r="C893" s="30"/>
      <c r="D893" s="2"/>
      <c r="E893" s="2"/>
      <c r="F893" s="2"/>
      <c r="G893" s="2"/>
      <c r="H893" s="2"/>
      <c r="I893" s="19"/>
    </row>
    <row r="894" ht="15.75" customHeight="1">
      <c r="A894" s="2"/>
      <c r="B894" s="2"/>
      <c r="C894" s="30"/>
      <c r="D894" s="2"/>
      <c r="E894" s="2"/>
      <c r="F894" s="2"/>
      <c r="G894" s="2"/>
      <c r="H894" s="2"/>
      <c r="I894" s="19"/>
    </row>
    <row r="895" ht="15.75" customHeight="1">
      <c r="A895" s="2"/>
      <c r="B895" s="2"/>
      <c r="C895" s="30"/>
      <c r="D895" s="2"/>
      <c r="E895" s="2"/>
      <c r="F895" s="2"/>
      <c r="G895" s="2"/>
      <c r="H895" s="2"/>
      <c r="I895" s="19"/>
    </row>
    <row r="896" ht="15.75" customHeight="1">
      <c r="A896" s="2"/>
      <c r="B896" s="2"/>
      <c r="C896" s="30"/>
      <c r="D896" s="2"/>
      <c r="E896" s="2"/>
      <c r="F896" s="2"/>
      <c r="G896" s="2"/>
      <c r="H896" s="2"/>
      <c r="I896" s="19"/>
    </row>
    <row r="897" ht="15.75" customHeight="1">
      <c r="A897" s="2"/>
      <c r="B897" s="2"/>
      <c r="C897" s="30"/>
      <c r="D897" s="2"/>
      <c r="E897" s="2"/>
      <c r="F897" s="2"/>
      <c r="G897" s="2"/>
      <c r="H897" s="2"/>
      <c r="I897" s="19"/>
    </row>
    <row r="898" ht="15.75" customHeight="1">
      <c r="A898" s="2"/>
      <c r="B898" s="2"/>
      <c r="C898" s="30"/>
      <c r="D898" s="2"/>
      <c r="E898" s="2"/>
      <c r="F898" s="2"/>
      <c r="G898" s="2"/>
      <c r="H898" s="2"/>
      <c r="I898" s="19"/>
    </row>
    <row r="899" ht="15.75" customHeight="1">
      <c r="A899" s="2"/>
      <c r="B899" s="2"/>
      <c r="C899" s="30"/>
      <c r="D899" s="2"/>
      <c r="E899" s="2"/>
      <c r="F899" s="2"/>
      <c r="G899" s="2"/>
      <c r="H899" s="2"/>
      <c r="I899" s="19"/>
    </row>
    <row r="900" ht="15.75" customHeight="1">
      <c r="A900" s="2"/>
      <c r="B900" s="2"/>
      <c r="C900" s="30"/>
      <c r="D900" s="2"/>
      <c r="E900" s="2"/>
      <c r="F900" s="2"/>
      <c r="G900" s="2"/>
      <c r="H900" s="2"/>
      <c r="I900" s="19"/>
    </row>
    <row r="901" ht="15.75" customHeight="1">
      <c r="A901" s="2"/>
      <c r="B901" s="2"/>
      <c r="C901" s="30"/>
      <c r="D901" s="2"/>
      <c r="E901" s="2"/>
      <c r="F901" s="2"/>
      <c r="G901" s="2"/>
      <c r="H901" s="2"/>
      <c r="I901" s="19"/>
    </row>
    <row r="902" ht="15.75" customHeight="1">
      <c r="A902" s="2"/>
      <c r="B902" s="2"/>
      <c r="C902" s="30"/>
      <c r="D902" s="2"/>
      <c r="E902" s="2"/>
      <c r="F902" s="2"/>
      <c r="G902" s="2"/>
      <c r="H902" s="2"/>
      <c r="I902" s="19"/>
    </row>
    <row r="903" ht="15.75" customHeight="1">
      <c r="A903" s="2"/>
      <c r="B903" s="2"/>
      <c r="C903" s="30"/>
      <c r="D903" s="2"/>
      <c r="E903" s="2"/>
      <c r="F903" s="2"/>
      <c r="G903" s="2"/>
      <c r="H903" s="2"/>
      <c r="I903" s="19"/>
    </row>
    <row r="904" ht="15.75" customHeight="1">
      <c r="A904" s="2"/>
      <c r="B904" s="2"/>
      <c r="C904" s="30"/>
      <c r="D904" s="2"/>
      <c r="E904" s="2"/>
      <c r="F904" s="2"/>
      <c r="G904" s="2"/>
      <c r="H904" s="2"/>
      <c r="I904" s="19"/>
    </row>
    <row r="905" ht="15.75" customHeight="1">
      <c r="A905" s="2"/>
      <c r="B905" s="2"/>
      <c r="C905" s="30"/>
      <c r="D905" s="2"/>
      <c r="E905" s="2"/>
      <c r="F905" s="2"/>
      <c r="G905" s="2"/>
      <c r="H905" s="2"/>
      <c r="I905" s="19"/>
    </row>
    <row r="906" ht="15.75" customHeight="1">
      <c r="A906" s="2"/>
      <c r="B906" s="2"/>
      <c r="C906" s="30"/>
      <c r="D906" s="2"/>
      <c r="E906" s="2"/>
      <c r="F906" s="2"/>
      <c r="G906" s="2"/>
      <c r="H906" s="2"/>
      <c r="I906" s="19"/>
    </row>
    <row r="907" ht="15.75" customHeight="1">
      <c r="A907" s="2"/>
      <c r="B907" s="2"/>
      <c r="C907" s="30"/>
      <c r="D907" s="2"/>
      <c r="E907" s="2"/>
      <c r="F907" s="2"/>
      <c r="G907" s="2"/>
      <c r="H907" s="2"/>
      <c r="I907" s="19"/>
    </row>
    <row r="908" ht="15.75" customHeight="1">
      <c r="A908" s="2"/>
      <c r="B908" s="2"/>
      <c r="C908" s="30"/>
      <c r="D908" s="2"/>
      <c r="E908" s="2"/>
      <c r="F908" s="2"/>
      <c r="G908" s="2"/>
      <c r="H908" s="2"/>
      <c r="I908" s="19"/>
    </row>
    <row r="909" ht="15.75" customHeight="1">
      <c r="A909" s="2"/>
      <c r="B909" s="2"/>
      <c r="C909" s="30"/>
      <c r="D909" s="2"/>
      <c r="E909" s="2"/>
      <c r="F909" s="2"/>
      <c r="G909" s="2"/>
      <c r="H909" s="2"/>
      <c r="I909" s="19"/>
    </row>
    <row r="910" ht="15.75" customHeight="1">
      <c r="A910" s="2"/>
      <c r="B910" s="2"/>
      <c r="C910" s="30"/>
      <c r="D910" s="2"/>
      <c r="E910" s="2"/>
      <c r="F910" s="2"/>
      <c r="G910" s="2"/>
      <c r="H910" s="2"/>
      <c r="I910" s="19"/>
    </row>
    <row r="911" ht="15.75" customHeight="1">
      <c r="A911" s="2"/>
      <c r="B911" s="2"/>
      <c r="C911" s="30"/>
      <c r="D911" s="2"/>
      <c r="E911" s="2"/>
      <c r="F911" s="2"/>
      <c r="G911" s="2"/>
      <c r="H911" s="2"/>
      <c r="I911" s="19"/>
    </row>
    <row r="912" ht="15.75" customHeight="1">
      <c r="A912" s="2"/>
      <c r="B912" s="2"/>
      <c r="C912" s="30"/>
      <c r="D912" s="2"/>
      <c r="E912" s="2"/>
      <c r="F912" s="2"/>
      <c r="G912" s="2"/>
      <c r="H912" s="2"/>
      <c r="I912" s="19"/>
    </row>
    <row r="913" ht="15.75" customHeight="1">
      <c r="A913" s="2"/>
      <c r="B913" s="2"/>
      <c r="C913" s="30"/>
      <c r="D913" s="2"/>
      <c r="E913" s="2"/>
      <c r="F913" s="2"/>
      <c r="G913" s="2"/>
      <c r="H913" s="2"/>
      <c r="I913" s="19"/>
    </row>
    <row r="914" ht="15.75" customHeight="1">
      <c r="A914" s="2"/>
      <c r="B914" s="2"/>
      <c r="C914" s="30"/>
      <c r="D914" s="2"/>
      <c r="E914" s="2"/>
      <c r="F914" s="2"/>
      <c r="G914" s="2"/>
      <c r="H914" s="2"/>
      <c r="I914" s="19"/>
    </row>
    <row r="915" ht="15.75" customHeight="1">
      <c r="A915" s="2"/>
      <c r="B915" s="2"/>
      <c r="C915" s="30"/>
      <c r="D915" s="2"/>
      <c r="E915" s="2"/>
      <c r="F915" s="2"/>
      <c r="G915" s="2"/>
      <c r="H915" s="2"/>
      <c r="I915" s="19"/>
    </row>
    <row r="916" ht="15.75" customHeight="1">
      <c r="A916" s="2"/>
      <c r="B916" s="2"/>
      <c r="C916" s="30"/>
      <c r="D916" s="2"/>
      <c r="E916" s="2"/>
      <c r="F916" s="2"/>
      <c r="G916" s="2"/>
      <c r="H916" s="2"/>
      <c r="I916" s="19"/>
    </row>
    <row r="917" ht="15.75" customHeight="1">
      <c r="A917" s="2"/>
      <c r="B917" s="2"/>
      <c r="C917" s="30"/>
      <c r="D917" s="2"/>
      <c r="E917" s="2"/>
      <c r="F917" s="2"/>
      <c r="G917" s="2"/>
      <c r="H917" s="2"/>
      <c r="I917" s="19"/>
    </row>
    <row r="918" ht="15.75" customHeight="1">
      <c r="A918" s="2"/>
      <c r="B918" s="2"/>
      <c r="C918" s="30"/>
      <c r="D918" s="2"/>
      <c r="E918" s="2"/>
      <c r="F918" s="2"/>
      <c r="G918" s="2"/>
      <c r="H918" s="2"/>
      <c r="I918" s="19"/>
    </row>
    <row r="919" ht="15.75" customHeight="1">
      <c r="A919" s="2"/>
      <c r="B919" s="2"/>
      <c r="C919" s="30"/>
      <c r="D919" s="2"/>
      <c r="E919" s="2"/>
      <c r="F919" s="2"/>
      <c r="G919" s="2"/>
      <c r="H919" s="2"/>
      <c r="I919" s="19"/>
    </row>
    <row r="920" ht="15.75" customHeight="1">
      <c r="A920" s="2"/>
      <c r="B920" s="2"/>
      <c r="C920" s="30"/>
      <c r="D920" s="2"/>
      <c r="E920" s="2"/>
      <c r="F920" s="2"/>
      <c r="G920" s="2"/>
      <c r="H920" s="2"/>
      <c r="I920" s="19"/>
    </row>
    <row r="921" ht="15.75" customHeight="1">
      <c r="A921" s="2"/>
      <c r="B921" s="2"/>
      <c r="C921" s="30"/>
      <c r="D921" s="2"/>
      <c r="E921" s="2"/>
      <c r="F921" s="2"/>
      <c r="G921" s="2"/>
      <c r="H921" s="2"/>
      <c r="I921" s="19"/>
    </row>
    <row r="922" ht="15.75" customHeight="1">
      <c r="A922" s="2"/>
      <c r="B922" s="2"/>
      <c r="C922" s="30"/>
      <c r="D922" s="2"/>
      <c r="E922" s="2"/>
      <c r="F922" s="2"/>
      <c r="G922" s="2"/>
      <c r="H922" s="2"/>
      <c r="I922" s="19"/>
    </row>
    <row r="923" ht="15.75" customHeight="1">
      <c r="A923" s="2"/>
      <c r="B923" s="2"/>
      <c r="C923" s="30"/>
      <c r="D923" s="2"/>
      <c r="E923" s="2"/>
      <c r="F923" s="2"/>
      <c r="G923" s="2"/>
      <c r="H923" s="2"/>
      <c r="I923" s="19"/>
    </row>
    <row r="924" ht="15.75" customHeight="1">
      <c r="A924" s="2"/>
      <c r="B924" s="2"/>
      <c r="C924" s="30"/>
      <c r="D924" s="2"/>
      <c r="E924" s="2"/>
      <c r="F924" s="2"/>
      <c r="G924" s="2"/>
      <c r="H924" s="2"/>
      <c r="I924" s="19"/>
    </row>
    <row r="925" ht="15.75" customHeight="1">
      <c r="A925" s="2"/>
      <c r="B925" s="2"/>
      <c r="C925" s="30"/>
      <c r="D925" s="2"/>
      <c r="E925" s="2"/>
      <c r="F925" s="2"/>
      <c r="G925" s="2"/>
      <c r="H925" s="2"/>
      <c r="I925" s="19"/>
    </row>
    <row r="926" ht="15.75" customHeight="1">
      <c r="A926" s="2"/>
      <c r="B926" s="2"/>
      <c r="C926" s="30"/>
      <c r="D926" s="2"/>
      <c r="E926" s="2"/>
      <c r="F926" s="2"/>
      <c r="G926" s="2"/>
      <c r="H926" s="2"/>
      <c r="I926" s="19"/>
    </row>
    <row r="927" ht="15.75" customHeight="1">
      <c r="A927" s="2"/>
      <c r="B927" s="2"/>
      <c r="C927" s="30"/>
      <c r="D927" s="2"/>
      <c r="E927" s="2"/>
      <c r="F927" s="2"/>
      <c r="G927" s="2"/>
      <c r="H927" s="2"/>
      <c r="I927" s="19"/>
    </row>
    <row r="928" ht="15.75" customHeight="1">
      <c r="A928" s="2"/>
      <c r="B928" s="2"/>
      <c r="C928" s="30"/>
      <c r="D928" s="2"/>
      <c r="E928" s="2"/>
      <c r="F928" s="2"/>
      <c r="G928" s="2"/>
      <c r="H928" s="2"/>
      <c r="I928" s="19"/>
    </row>
    <row r="929" ht="15.75" customHeight="1">
      <c r="A929" s="2"/>
      <c r="B929" s="2"/>
      <c r="C929" s="30"/>
      <c r="D929" s="2"/>
      <c r="E929" s="2"/>
      <c r="F929" s="2"/>
      <c r="G929" s="2"/>
      <c r="H929" s="2"/>
      <c r="I929" s="19"/>
    </row>
    <row r="930" ht="15.75" customHeight="1">
      <c r="A930" s="2"/>
      <c r="B930" s="2"/>
      <c r="C930" s="30"/>
      <c r="D930" s="2"/>
      <c r="E930" s="2"/>
      <c r="F930" s="2"/>
      <c r="G930" s="2"/>
      <c r="H930" s="2"/>
      <c r="I930" s="19"/>
    </row>
    <row r="931" ht="15.75" customHeight="1">
      <c r="A931" s="2"/>
      <c r="B931" s="2"/>
      <c r="C931" s="30"/>
      <c r="D931" s="2"/>
      <c r="E931" s="2"/>
      <c r="F931" s="2"/>
      <c r="G931" s="2"/>
      <c r="H931" s="2"/>
      <c r="I931" s="19"/>
    </row>
    <row r="932" ht="15.75" customHeight="1">
      <c r="A932" s="2"/>
      <c r="B932" s="2"/>
      <c r="C932" s="30"/>
      <c r="D932" s="2"/>
      <c r="E932" s="2"/>
      <c r="F932" s="2"/>
      <c r="G932" s="2"/>
      <c r="H932" s="2"/>
      <c r="I932" s="19"/>
    </row>
    <row r="933" ht="15.75" customHeight="1">
      <c r="A933" s="2"/>
      <c r="B933" s="2"/>
      <c r="C933" s="30"/>
      <c r="D933" s="2"/>
      <c r="E933" s="2"/>
      <c r="F933" s="2"/>
      <c r="G933" s="2"/>
      <c r="H933" s="2"/>
      <c r="I933" s="19"/>
    </row>
    <row r="934" ht="15.75" customHeight="1">
      <c r="A934" s="2"/>
      <c r="B934" s="2"/>
      <c r="C934" s="30"/>
      <c r="D934" s="2"/>
      <c r="E934" s="2"/>
      <c r="F934" s="2"/>
      <c r="G934" s="2"/>
      <c r="H934" s="2"/>
      <c r="I934" s="19"/>
    </row>
    <row r="935" ht="15.75" customHeight="1">
      <c r="A935" s="2"/>
      <c r="B935" s="2"/>
      <c r="C935" s="30"/>
      <c r="D935" s="2"/>
      <c r="E935" s="2"/>
      <c r="F935" s="2"/>
      <c r="G935" s="2"/>
      <c r="H935" s="2"/>
      <c r="I935" s="19"/>
    </row>
    <row r="936" ht="15.75" customHeight="1">
      <c r="A936" s="2"/>
      <c r="B936" s="2"/>
      <c r="C936" s="30"/>
      <c r="D936" s="2"/>
      <c r="E936" s="2"/>
      <c r="F936" s="2"/>
      <c r="G936" s="2"/>
      <c r="H936" s="2"/>
      <c r="I936" s="19"/>
    </row>
    <row r="937" ht="15.75" customHeight="1">
      <c r="A937" s="2"/>
      <c r="B937" s="2"/>
      <c r="C937" s="30"/>
      <c r="D937" s="2"/>
      <c r="E937" s="2"/>
      <c r="F937" s="2"/>
      <c r="G937" s="2"/>
      <c r="H937" s="2"/>
      <c r="I937" s="19"/>
    </row>
    <row r="938" ht="15.75" customHeight="1">
      <c r="A938" s="2"/>
      <c r="B938" s="2"/>
      <c r="C938" s="30"/>
      <c r="D938" s="2"/>
      <c r="E938" s="2"/>
      <c r="F938" s="2"/>
      <c r="G938" s="2"/>
      <c r="H938" s="2"/>
      <c r="I938" s="19"/>
    </row>
    <row r="939" ht="15.75" customHeight="1">
      <c r="A939" s="2"/>
      <c r="B939" s="2"/>
      <c r="C939" s="30"/>
      <c r="D939" s="2"/>
      <c r="E939" s="2"/>
      <c r="F939" s="2"/>
      <c r="G939" s="2"/>
      <c r="H939" s="2"/>
      <c r="I939" s="19"/>
    </row>
    <row r="940" ht="15.75" customHeight="1">
      <c r="A940" s="2"/>
      <c r="B940" s="2"/>
      <c r="C940" s="30"/>
      <c r="D940" s="2"/>
      <c r="E940" s="2"/>
      <c r="F940" s="2"/>
      <c r="G940" s="2"/>
      <c r="H940" s="2"/>
      <c r="I940" s="19"/>
    </row>
    <row r="941" ht="15.75" customHeight="1">
      <c r="A941" s="2"/>
      <c r="B941" s="2"/>
      <c r="C941" s="30"/>
      <c r="D941" s="2"/>
      <c r="E941" s="2"/>
      <c r="F941" s="2"/>
      <c r="G941" s="2"/>
      <c r="H941" s="2"/>
      <c r="I941" s="19"/>
    </row>
    <row r="942" ht="15.75" customHeight="1">
      <c r="A942" s="2"/>
      <c r="B942" s="2"/>
      <c r="C942" s="30"/>
      <c r="D942" s="2"/>
      <c r="E942" s="2"/>
      <c r="F942" s="2"/>
      <c r="G942" s="2"/>
      <c r="H942" s="2"/>
      <c r="I942" s="19"/>
    </row>
    <row r="943" ht="15.75" customHeight="1">
      <c r="A943" s="2"/>
      <c r="B943" s="2"/>
      <c r="C943" s="30"/>
      <c r="D943" s="2"/>
      <c r="E943" s="2"/>
      <c r="F943" s="2"/>
      <c r="G943" s="2"/>
      <c r="H943" s="2"/>
      <c r="I943" s="19"/>
    </row>
    <row r="944" ht="15.75" customHeight="1">
      <c r="A944" s="2"/>
      <c r="B944" s="2"/>
      <c r="C944" s="30"/>
      <c r="D944" s="2"/>
      <c r="E944" s="2"/>
      <c r="F944" s="2"/>
      <c r="G944" s="2"/>
      <c r="H944" s="2"/>
      <c r="I944" s="19"/>
    </row>
    <row r="945" ht="15.75" customHeight="1">
      <c r="A945" s="2"/>
      <c r="B945" s="2"/>
      <c r="C945" s="30"/>
      <c r="D945" s="2"/>
      <c r="E945" s="2"/>
      <c r="F945" s="2"/>
      <c r="G945" s="2"/>
      <c r="H945" s="2"/>
      <c r="I945" s="19"/>
    </row>
    <row r="946" ht="15.75" customHeight="1">
      <c r="A946" s="2"/>
      <c r="B946" s="2"/>
      <c r="C946" s="30"/>
      <c r="D946" s="2"/>
      <c r="E946" s="2"/>
      <c r="F946" s="2"/>
      <c r="G946" s="2"/>
      <c r="H946" s="2"/>
      <c r="I946" s="19"/>
    </row>
    <row r="947" ht="15.75" customHeight="1">
      <c r="A947" s="2"/>
      <c r="B947" s="2"/>
      <c r="C947" s="30"/>
      <c r="D947" s="2"/>
      <c r="E947" s="2"/>
      <c r="F947" s="2"/>
      <c r="G947" s="2"/>
      <c r="H947" s="2"/>
      <c r="I947" s="19"/>
    </row>
    <row r="948" ht="15.75" customHeight="1">
      <c r="A948" s="2"/>
      <c r="B948" s="2"/>
      <c r="C948" s="30"/>
      <c r="D948" s="2"/>
      <c r="E948" s="2"/>
      <c r="F948" s="2"/>
      <c r="G948" s="2"/>
      <c r="H948" s="2"/>
      <c r="I948" s="19"/>
    </row>
    <row r="949" ht="15.75" customHeight="1">
      <c r="A949" s="2"/>
      <c r="B949" s="2"/>
      <c r="C949" s="30"/>
      <c r="D949" s="2"/>
      <c r="E949" s="2"/>
      <c r="F949" s="2"/>
      <c r="G949" s="2"/>
      <c r="H949" s="2"/>
      <c r="I949" s="19"/>
    </row>
    <row r="950" ht="15.75" customHeight="1">
      <c r="A950" s="2"/>
      <c r="B950" s="2"/>
      <c r="C950" s="30"/>
      <c r="D950" s="2"/>
      <c r="E950" s="2"/>
      <c r="F950" s="2"/>
      <c r="G950" s="2"/>
      <c r="H950" s="2"/>
      <c r="I950" s="19"/>
    </row>
    <row r="951" ht="15.75" customHeight="1">
      <c r="A951" s="2"/>
      <c r="B951" s="2"/>
      <c r="C951" s="30"/>
      <c r="D951" s="2"/>
      <c r="E951" s="2"/>
      <c r="F951" s="2"/>
      <c r="G951" s="2"/>
      <c r="H951" s="2"/>
      <c r="I951" s="19"/>
    </row>
    <row r="952" ht="15.75" customHeight="1">
      <c r="A952" s="2"/>
      <c r="B952" s="2"/>
      <c r="C952" s="30"/>
      <c r="D952" s="2"/>
      <c r="E952" s="2"/>
      <c r="F952" s="2"/>
      <c r="G952" s="2"/>
      <c r="H952" s="2"/>
      <c r="I952" s="19"/>
    </row>
    <row r="953" ht="15.75" customHeight="1">
      <c r="A953" s="2"/>
      <c r="B953" s="2"/>
      <c r="C953" s="30"/>
      <c r="D953" s="2"/>
      <c r="E953" s="2"/>
      <c r="F953" s="2"/>
      <c r="G953" s="2"/>
      <c r="H953" s="2"/>
      <c r="I953" s="19"/>
    </row>
    <row r="954" ht="15.75" customHeight="1">
      <c r="A954" s="2"/>
      <c r="B954" s="2"/>
      <c r="C954" s="30"/>
      <c r="D954" s="2"/>
      <c r="E954" s="2"/>
      <c r="F954" s="2"/>
      <c r="G954" s="2"/>
      <c r="H954" s="2"/>
      <c r="I954" s="19"/>
    </row>
    <row r="955" ht="15.75" customHeight="1">
      <c r="A955" s="2"/>
      <c r="B955" s="2"/>
      <c r="C955" s="30"/>
      <c r="D955" s="2"/>
      <c r="E955" s="2"/>
      <c r="F955" s="2"/>
      <c r="G955" s="2"/>
      <c r="H955" s="2"/>
      <c r="I955" s="19"/>
    </row>
    <row r="956" ht="15.75" customHeight="1">
      <c r="A956" s="2"/>
      <c r="B956" s="2"/>
      <c r="C956" s="30"/>
      <c r="D956" s="2"/>
      <c r="E956" s="2"/>
      <c r="F956" s="2"/>
      <c r="G956" s="2"/>
      <c r="H956" s="2"/>
      <c r="I956" s="19"/>
    </row>
    <row r="957" ht="15.75" customHeight="1">
      <c r="A957" s="2"/>
      <c r="B957" s="2"/>
      <c r="C957" s="30"/>
      <c r="D957" s="2"/>
      <c r="E957" s="2"/>
      <c r="F957" s="2"/>
      <c r="G957" s="2"/>
      <c r="H957" s="2"/>
      <c r="I957" s="19"/>
    </row>
    <row r="958" ht="15.75" customHeight="1">
      <c r="A958" s="2"/>
      <c r="B958" s="2"/>
      <c r="C958" s="30"/>
      <c r="D958" s="2"/>
      <c r="E958" s="2"/>
      <c r="F958" s="2"/>
      <c r="G958" s="2"/>
      <c r="H958" s="2"/>
      <c r="I958" s="19"/>
    </row>
    <row r="959" ht="15.75" customHeight="1">
      <c r="A959" s="2"/>
      <c r="B959" s="2"/>
      <c r="C959" s="30"/>
      <c r="D959" s="2"/>
      <c r="E959" s="2"/>
      <c r="F959" s="2"/>
      <c r="G959" s="2"/>
      <c r="H959" s="2"/>
      <c r="I959" s="19"/>
    </row>
    <row r="960" ht="15.75" customHeight="1">
      <c r="A960" s="2"/>
      <c r="B960" s="2"/>
      <c r="C960" s="30"/>
      <c r="D960" s="2"/>
      <c r="E960" s="2"/>
      <c r="F960" s="2"/>
      <c r="G960" s="2"/>
      <c r="H960" s="2"/>
      <c r="I960" s="19"/>
    </row>
    <row r="961" ht="15.75" customHeight="1">
      <c r="A961" s="2"/>
      <c r="B961" s="2"/>
      <c r="C961" s="30"/>
      <c r="D961" s="2"/>
      <c r="E961" s="2"/>
      <c r="F961" s="2"/>
      <c r="G961" s="2"/>
      <c r="H961" s="2"/>
      <c r="I961" s="19"/>
    </row>
    <row r="962" ht="15.75" customHeight="1">
      <c r="A962" s="2"/>
      <c r="B962" s="2"/>
      <c r="C962" s="30"/>
      <c r="D962" s="2"/>
      <c r="E962" s="2"/>
      <c r="F962" s="2"/>
      <c r="G962" s="2"/>
      <c r="H962" s="2"/>
      <c r="I962" s="19"/>
    </row>
    <row r="963" ht="15.75" customHeight="1">
      <c r="A963" s="2"/>
      <c r="B963" s="2"/>
      <c r="C963" s="30"/>
      <c r="D963" s="2"/>
      <c r="E963" s="2"/>
      <c r="F963" s="2"/>
      <c r="G963" s="2"/>
      <c r="H963" s="2"/>
      <c r="I963" s="19"/>
    </row>
    <row r="964" ht="15.75" customHeight="1">
      <c r="A964" s="2"/>
      <c r="B964" s="2"/>
      <c r="C964" s="30"/>
      <c r="D964" s="2"/>
      <c r="E964" s="2"/>
      <c r="F964" s="2"/>
      <c r="G964" s="2"/>
      <c r="H964" s="2"/>
      <c r="I964" s="19"/>
    </row>
    <row r="965" ht="15.75" customHeight="1">
      <c r="A965" s="2"/>
      <c r="B965" s="2"/>
      <c r="C965" s="30"/>
      <c r="D965" s="2"/>
      <c r="E965" s="2"/>
      <c r="F965" s="2"/>
      <c r="G965" s="2"/>
      <c r="H965" s="2"/>
      <c r="I965" s="19"/>
    </row>
    <row r="966" ht="15.75" customHeight="1">
      <c r="A966" s="2"/>
      <c r="B966" s="2"/>
      <c r="C966" s="30"/>
      <c r="D966" s="2"/>
      <c r="E966" s="2"/>
      <c r="F966" s="2"/>
      <c r="G966" s="2"/>
      <c r="H966" s="2"/>
      <c r="I966" s="19"/>
    </row>
    <row r="967" ht="15.75" customHeight="1">
      <c r="A967" s="2"/>
      <c r="B967" s="2"/>
      <c r="C967" s="30"/>
      <c r="D967" s="2"/>
      <c r="E967" s="2"/>
      <c r="F967" s="2"/>
      <c r="G967" s="2"/>
      <c r="H967" s="2"/>
      <c r="I967" s="19"/>
    </row>
    <row r="968" ht="15.75" customHeight="1">
      <c r="A968" s="2"/>
      <c r="B968" s="2"/>
      <c r="C968" s="30"/>
      <c r="D968" s="2"/>
      <c r="E968" s="2"/>
      <c r="F968" s="2"/>
      <c r="G968" s="2"/>
      <c r="H968" s="2"/>
      <c r="I968" s="19"/>
    </row>
    <row r="969" ht="15.75" customHeight="1">
      <c r="A969" s="2"/>
      <c r="B969" s="2"/>
      <c r="C969" s="30"/>
      <c r="D969" s="2"/>
      <c r="E969" s="2"/>
      <c r="F969" s="2"/>
      <c r="G969" s="2"/>
      <c r="H969" s="2"/>
      <c r="I969" s="19"/>
    </row>
    <row r="970" ht="15.75" customHeight="1">
      <c r="A970" s="2"/>
      <c r="B970" s="2"/>
      <c r="C970" s="30"/>
      <c r="D970" s="2"/>
      <c r="E970" s="2"/>
      <c r="F970" s="2"/>
      <c r="G970" s="2"/>
      <c r="H970" s="2"/>
      <c r="I970" s="19"/>
    </row>
    <row r="971" ht="15.75" customHeight="1">
      <c r="A971" s="2"/>
      <c r="B971" s="2"/>
      <c r="C971" s="30"/>
      <c r="D971" s="2"/>
      <c r="E971" s="2"/>
      <c r="F971" s="2"/>
      <c r="G971" s="2"/>
      <c r="H971" s="2"/>
      <c r="I971" s="19"/>
    </row>
    <row r="972" ht="15.75" customHeight="1">
      <c r="A972" s="2"/>
      <c r="B972" s="2"/>
      <c r="C972" s="30"/>
      <c r="D972" s="2"/>
      <c r="E972" s="2"/>
      <c r="F972" s="2"/>
      <c r="G972" s="2"/>
      <c r="H972" s="2"/>
      <c r="I972" s="19"/>
    </row>
    <row r="973" ht="15.75" customHeight="1">
      <c r="A973" s="2"/>
      <c r="B973" s="2"/>
      <c r="C973" s="30"/>
      <c r="D973" s="2"/>
      <c r="E973" s="2"/>
      <c r="F973" s="2"/>
      <c r="G973" s="2"/>
      <c r="H973" s="2"/>
      <c r="I973" s="19"/>
    </row>
    <row r="974" ht="15.75" customHeight="1">
      <c r="A974" s="2"/>
      <c r="B974" s="2"/>
      <c r="C974" s="30"/>
      <c r="D974" s="2"/>
      <c r="E974" s="2"/>
      <c r="F974" s="2"/>
      <c r="G974" s="2"/>
      <c r="H974" s="2"/>
      <c r="I974" s="19"/>
    </row>
    <row r="975" ht="15.75" customHeight="1">
      <c r="A975" s="2"/>
      <c r="B975" s="2"/>
      <c r="C975" s="30"/>
      <c r="D975" s="2"/>
      <c r="E975" s="2"/>
      <c r="F975" s="2"/>
      <c r="G975" s="2"/>
      <c r="H975" s="2"/>
      <c r="I975" s="19"/>
    </row>
    <row r="976" ht="15.75" customHeight="1">
      <c r="A976" s="2"/>
      <c r="B976" s="2"/>
      <c r="C976" s="30"/>
      <c r="D976" s="2"/>
      <c r="E976" s="2"/>
      <c r="F976" s="2"/>
      <c r="G976" s="2"/>
      <c r="H976" s="2"/>
      <c r="I976" s="19"/>
    </row>
    <row r="977" ht="15.75" customHeight="1">
      <c r="A977" s="2"/>
      <c r="B977" s="2"/>
      <c r="C977" s="30"/>
      <c r="D977" s="2"/>
      <c r="E977" s="2"/>
      <c r="F977" s="2"/>
      <c r="G977" s="2"/>
      <c r="H977" s="2"/>
      <c r="I977" s="19"/>
    </row>
    <row r="978" ht="15.75" customHeight="1">
      <c r="A978" s="2"/>
      <c r="B978" s="2"/>
      <c r="C978" s="30"/>
      <c r="D978" s="2"/>
      <c r="E978" s="2"/>
      <c r="F978" s="2"/>
      <c r="G978" s="2"/>
      <c r="H978" s="2"/>
      <c r="I978" s="19"/>
    </row>
    <row r="979" ht="15.75" customHeight="1">
      <c r="A979" s="2"/>
      <c r="B979" s="2"/>
      <c r="C979" s="30"/>
      <c r="D979" s="2"/>
      <c r="E979" s="2"/>
      <c r="F979" s="2"/>
      <c r="G979" s="2"/>
      <c r="H979" s="2"/>
      <c r="I979" s="19"/>
    </row>
    <row r="980" ht="15.75" customHeight="1">
      <c r="A980" s="2"/>
      <c r="B980" s="2"/>
      <c r="C980" s="30"/>
      <c r="D980" s="2"/>
      <c r="E980" s="2"/>
      <c r="F980" s="2"/>
      <c r="G980" s="2"/>
      <c r="H980" s="2"/>
      <c r="I980" s="19"/>
    </row>
    <row r="981" ht="15.75" customHeight="1">
      <c r="A981" s="2"/>
      <c r="B981" s="2"/>
      <c r="C981" s="30"/>
      <c r="D981" s="2"/>
      <c r="E981" s="2"/>
      <c r="F981" s="2"/>
      <c r="G981" s="2"/>
      <c r="H981" s="2"/>
      <c r="I981" s="19"/>
    </row>
    <row r="982" ht="15.75" customHeight="1">
      <c r="A982" s="2"/>
      <c r="B982" s="2"/>
      <c r="C982" s="30"/>
      <c r="D982" s="2"/>
      <c r="E982" s="2"/>
      <c r="F982" s="2"/>
      <c r="G982" s="2"/>
      <c r="H982" s="2"/>
      <c r="I982" s="19"/>
    </row>
    <row r="983" ht="15.75" customHeight="1">
      <c r="A983" s="2"/>
      <c r="B983" s="2"/>
      <c r="C983" s="30"/>
      <c r="D983" s="2"/>
      <c r="E983" s="2"/>
      <c r="F983" s="2"/>
      <c r="G983" s="2"/>
      <c r="H983" s="2"/>
      <c r="I983" s="19"/>
    </row>
    <row r="984" ht="15.75" customHeight="1">
      <c r="A984" s="2"/>
      <c r="B984" s="2"/>
      <c r="C984" s="30"/>
      <c r="D984" s="2"/>
      <c r="E984" s="2"/>
      <c r="F984" s="2"/>
      <c r="G984" s="2"/>
      <c r="H984" s="2"/>
      <c r="I984" s="19"/>
    </row>
    <row r="985" ht="15.75" customHeight="1">
      <c r="A985" s="2"/>
      <c r="B985" s="2"/>
      <c r="C985" s="30"/>
      <c r="D985" s="2"/>
      <c r="E985" s="2"/>
      <c r="F985" s="2"/>
      <c r="G985" s="2"/>
      <c r="H985" s="2"/>
      <c r="I985" s="19"/>
    </row>
    <row r="986" ht="15.75" customHeight="1">
      <c r="A986" s="2"/>
      <c r="B986" s="2"/>
      <c r="C986" s="30"/>
      <c r="D986" s="2"/>
      <c r="E986" s="2"/>
      <c r="F986" s="2"/>
      <c r="G986" s="2"/>
      <c r="H986" s="2"/>
      <c r="I986" s="19"/>
    </row>
    <row r="987" ht="15.75" customHeight="1">
      <c r="A987" s="2"/>
      <c r="B987" s="2"/>
      <c r="C987" s="30"/>
      <c r="D987" s="2"/>
      <c r="E987" s="2"/>
      <c r="F987" s="2"/>
      <c r="G987" s="2"/>
      <c r="H987" s="2"/>
      <c r="I987" s="19"/>
    </row>
    <row r="988" ht="15.75" customHeight="1">
      <c r="A988" s="2"/>
      <c r="B988" s="2"/>
      <c r="C988" s="30"/>
      <c r="D988" s="2"/>
      <c r="E988" s="2"/>
      <c r="F988" s="2"/>
      <c r="G988" s="2"/>
      <c r="H988" s="2"/>
      <c r="I988" s="19"/>
    </row>
    <row r="989" ht="15.75" customHeight="1">
      <c r="A989" s="2"/>
      <c r="B989" s="2"/>
      <c r="C989" s="30"/>
      <c r="D989" s="2"/>
      <c r="E989" s="2"/>
      <c r="F989" s="2"/>
      <c r="G989" s="2"/>
      <c r="H989" s="2"/>
      <c r="I989" s="19"/>
    </row>
    <row r="990" ht="15.75" customHeight="1">
      <c r="A990" s="2"/>
      <c r="B990" s="2"/>
      <c r="C990" s="30"/>
      <c r="D990" s="2"/>
      <c r="E990" s="2"/>
      <c r="F990" s="2"/>
      <c r="G990" s="2"/>
      <c r="H990" s="2"/>
      <c r="I990" s="19"/>
    </row>
    <row r="991" ht="15.75" customHeight="1">
      <c r="A991" s="2"/>
      <c r="B991" s="2"/>
      <c r="C991" s="30"/>
      <c r="D991" s="2"/>
      <c r="E991" s="2"/>
      <c r="F991" s="2"/>
      <c r="G991" s="2"/>
      <c r="H991" s="2"/>
      <c r="I991" s="19"/>
    </row>
    <row r="992" ht="15.75" customHeight="1">
      <c r="A992" s="2"/>
      <c r="B992" s="2"/>
      <c r="C992" s="30"/>
      <c r="D992" s="2"/>
      <c r="E992" s="2"/>
      <c r="F992" s="2"/>
      <c r="G992" s="2"/>
      <c r="H992" s="2"/>
      <c r="I992" s="19"/>
    </row>
    <row r="993" ht="15.75" customHeight="1">
      <c r="A993" s="2"/>
      <c r="B993" s="2"/>
      <c r="C993" s="30"/>
      <c r="D993" s="2"/>
      <c r="E993" s="2"/>
      <c r="F993" s="2"/>
      <c r="G993" s="2"/>
      <c r="H993" s="2"/>
      <c r="I993" s="19"/>
    </row>
    <row r="994" ht="15.75" customHeight="1">
      <c r="A994" s="2"/>
      <c r="B994" s="2"/>
      <c r="C994" s="30"/>
      <c r="D994" s="2"/>
      <c r="E994" s="2"/>
      <c r="F994" s="2"/>
      <c r="G994" s="2"/>
      <c r="H994" s="2"/>
      <c r="I994" s="19"/>
    </row>
    <row r="995" ht="15.75" customHeight="1">
      <c r="A995" s="2"/>
      <c r="B995" s="2"/>
      <c r="C995" s="30"/>
      <c r="D995" s="2"/>
      <c r="E995" s="2"/>
      <c r="F995" s="2"/>
      <c r="G995" s="2"/>
      <c r="H995" s="2"/>
      <c r="I995" s="19"/>
    </row>
    <row r="996" ht="15.75" customHeight="1">
      <c r="A996" s="2"/>
      <c r="B996" s="2"/>
      <c r="C996" s="30"/>
      <c r="D996" s="2"/>
      <c r="E996" s="2"/>
      <c r="F996" s="2"/>
      <c r="G996" s="2"/>
      <c r="H996" s="2"/>
      <c r="I996" s="19"/>
    </row>
    <row r="997" ht="15.75" customHeight="1">
      <c r="A997" s="2"/>
      <c r="B997" s="2"/>
      <c r="C997" s="30"/>
      <c r="D997" s="2"/>
      <c r="E997" s="2"/>
      <c r="F997" s="2"/>
      <c r="G997" s="2"/>
      <c r="H997" s="2"/>
      <c r="I997" s="19"/>
    </row>
    <row r="998" ht="15.75" customHeight="1">
      <c r="A998" s="2"/>
      <c r="B998" s="2"/>
      <c r="C998" s="30"/>
      <c r="D998" s="2"/>
      <c r="E998" s="2"/>
      <c r="F998" s="2"/>
      <c r="G998" s="2"/>
      <c r="H998" s="2"/>
      <c r="I998" s="19"/>
    </row>
    <row r="999" ht="15.75" customHeight="1">
      <c r="A999" s="2"/>
      <c r="B999" s="2"/>
      <c r="C999" s="30"/>
      <c r="D999" s="2"/>
      <c r="E999" s="2"/>
      <c r="F999" s="2"/>
      <c r="G999" s="2"/>
      <c r="H999" s="2"/>
      <c r="I999" s="19"/>
    </row>
    <row r="1000" ht="15.75" customHeight="1">
      <c r="A1000" s="2"/>
      <c r="B1000" s="2"/>
      <c r="C1000" s="30"/>
      <c r="D1000" s="2"/>
      <c r="E1000" s="2"/>
      <c r="F1000" s="2"/>
      <c r="G1000" s="2"/>
      <c r="H1000" s="2"/>
      <c r="I1000" s="19"/>
    </row>
    <row r="1001" ht="15.75" customHeight="1">
      <c r="A1001" s="2"/>
      <c r="B1001" s="2"/>
      <c r="C1001" s="30"/>
      <c r="D1001" s="2"/>
      <c r="E1001" s="2"/>
      <c r="F1001" s="2"/>
      <c r="G1001" s="2"/>
      <c r="H1001" s="2"/>
      <c r="I1001" s="19"/>
    </row>
    <row r="1002" ht="15.75" customHeight="1">
      <c r="A1002" s="2"/>
      <c r="B1002" s="2"/>
      <c r="C1002" s="30"/>
      <c r="D1002" s="2"/>
      <c r="E1002" s="2"/>
      <c r="F1002" s="2"/>
      <c r="G1002" s="2"/>
      <c r="H1002" s="2"/>
      <c r="I1002" s="19"/>
    </row>
    <row r="1003" ht="15.75" customHeight="1">
      <c r="A1003" s="2"/>
      <c r="B1003" s="2"/>
      <c r="C1003" s="30"/>
      <c r="D1003" s="2"/>
      <c r="E1003" s="2"/>
      <c r="F1003" s="2"/>
      <c r="G1003" s="2"/>
      <c r="H1003" s="2"/>
      <c r="I1003" s="19"/>
    </row>
    <row r="1004" ht="15.75" customHeight="1">
      <c r="A1004" s="2"/>
      <c r="B1004" s="2"/>
      <c r="C1004" s="30"/>
      <c r="D1004" s="2"/>
      <c r="E1004" s="2"/>
      <c r="F1004" s="2"/>
      <c r="G1004" s="2"/>
      <c r="H1004" s="2"/>
      <c r="I1004" s="19"/>
    </row>
    <row r="1005" ht="15.75" customHeight="1">
      <c r="A1005" s="2"/>
      <c r="B1005" s="2"/>
      <c r="C1005" s="30"/>
      <c r="D1005" s="2"/>
      <c r="E1005" s="2"/>
      <c r="F1005" s="2"/>
      <c r="G1005" s="2"/>
      <c r="H1005" s="2"/>
      <c r="I1005" s="19"/>
    </row>
    <row r="1006" ht="15.75" customHeight="1">
      <c r="A1006" s="2"/>
      <c r="B1006" s="2"/>
      <c r="C1006" s="30"/>
      <c r="D1006" s="2"/>
      <c r="E1006" s="2"/>
      <c r="F1006" s="2"/>
      <c r="G1006" s="2"/>
      <c r="H1006" s="2"/>
      <c r="I1006" s="19"/>
    </row>
    <row r="1007" ht="15.75" customHeight="1">
      <c r="A1007" s="2"/>
      <c r="B1007" s="2"/>
      <c r="C1007" s="30"/>
      <c r="D1007" s="2"/>
      <c r="E1007" s="2"/>
      <c r="F1007" s="2"/>
      <c r="G1007" s="2"/>
      <c r="H1007" s="2"/>
      <c r="I1007" s="19"/>
    </row>
    <row r="1008" ht="15.75" customHeight="1">
      <c r="A1008" s="2"/>
      <c r="B1008" s="2"/>
      <c r="C1008" s="30"/>
      <c r="D1008" s="2"/>
      <c r="E1008" s="2"/>
      <c r="F1008" s="2"/>
      <c r="G1008" s="2"/>
      <c r="H1008" s="2"/>
      <c r="I1008" s="19"/>
    </row>
    <row r="1009" ht="15.75" customHeight="1">
      <c r="A1009" s="2"/>
      <c r="B1009" s="2"/>
      <c r="C1009" s="30"/>
      <c r="D1009" s="2"/>
      <c r="E1009" s="2"/>
      <c r="F1009" s="2"/>
      <c r="G1009" s="2"/>
      <c r="H1009" s="2"/>
      <c r="I1009" s="19"/>
    </row>
    <row r="1010" ht="15.75" customHeight="1">
      <c r="A1010" s="2"/>
      <c r="B1010" s="2"/>
      <c r="C1010" s="30"/>
      <c r="D1010" s="2"/>
      <c r="E1010" s="2"/>
      <c r="F1010" s="2"/>
      <c r="G1010" s="2"/>
      <c r="H1010" s="2"/>
      <c r="I1010" s="19"/>
    </row>
    <row r="1011" ht="15.75" customHeight="1">
      <c r="A1011" s="2"/>
      <c r="B1011" s="2"/>
      <c r="C1011" s="30"/>
      <c r="D1011" s="2"/>
      <c r="E1011" s="2"/>
      <c r="F1011" s="2"/>
      <c r="G1011" s="2"/>
      <c r="H1011" s="2"/>
      <c r="I1011" s="19"/>
    </row>
    <row r="1012" ht="15.75" customHeight="1">
      <c r="A1012" s="2"/>
      <c r="B1012" s="2"/>
      <c r="C1012" s="30"/>
      <c r="D1012" s="2"/>
      <c r="E1012" s="2"/>
      <c r="F1012" s="2"/>
      <c r="G1012" s="2"/>
      <c r="H1012" s="2"/>
      <c r="I1012" s="19"/>
    </row>
    <row r="1013" ht="15.75" customHeight="1">
      <c r="A1013" s="2"/>
      <c r="B1013" s="2"/>
      <c r="C1013" s="30"/>
      <c r="D1013" s="2"/>
      <c r="E1013" s="2"/>
      <c r="F1013" s="2"/>
      <c r="G1013" s="2"/>
      <c r="H1013" s="2"/>
      <c r="I1013" s="19"/>
    </row>
    <row r="1014" ht="15.75" customHeight="1">
      <c r="A1014" s="2"/>
      <c r="B1014" s="2"/>
      <c r="C1014" s="30"/>
      <c r="D1014" s="2"/>
      <c r="E1014" s="2"/>
      <c r="F1014" s="2"/>
      <c r="G1014" s="2"/>
      <c r="H1014" s="2"/>
      <c r="I1014" s="19"/>
    </row>
    <row r="1015" ht="15.75" customHeight="1">
      <c r="A1015" s="2"/>
      <c r="B1015" s="2"/>
      <c r="C1015" s="30"/>
      <c r="D1015" s="2"/>
      <c r="E1015" s="2"/>
      <c r="F1015" s="2"/>
      <c r="G1015" s="2"/>
      <c r="H1015" s="2"/>
      <c r="I1015" s="19"/>
    </row>
    <row r="1016" ht="15.75" customHeight="1">
      <c r="A1016" s="2"/>
      <c r="B1016" s="2"/>
      <c r="C1016" s="30"/>
      <c r="D1016" s="2"/>
      <c r="E1016" s="2"/>
      <c r="F1016" s="2"/>
      <c r="G1016" s="2"/>
      <c r="H1016" s="2"/>
      <c r="I1016" s="19"/>
    </row>
    <row r="1017" ht="15.75" customHeight="1">
      <c r="A1017" s="2"/>
      <c r="B1017" s="2"/>
      <c r="C1017" s="30"/>
      <c r="D1017" s="2"/>
      <c r="E1017" s="2"/>
      <c r="F1017" s="2"/>
      <c r="G1017" s="2"/>
      <c r="H1017" s="2"/>
      <c r="I1017" s="19"/>
    </row>
    <row r="1018" ht="15.75" customHeight="1">
      <c r="A1018" s="2"/>
      <c r="B1018" s="2"/>
      <c r="C1018" s="30"/>
      <c r="D1018" s="2"/>
      <c r="E1018" s="2"/>
      <c r="F1018" s="2"/>
      <c r="G1018" s="2"/>
      <c r="H1018" s="2"/>
      <c r="I1018" s="19"/>
    </row>
    <row r="1019" ht="15.75" customHeight="1">
      <c r="A1019" s="2"/>
      <c r="B1019" s="2"/>
      <c r="C1019" s="30"/>
      <c r="D1019" s="2"/>
      <c r="E1019" s="2"/>
      <c r="F1019" s="2"/>
      <c r="G1019" s="2"/>
      <c r="H1019" s="2"/>
      <c r="I1019" s="19"/>
    </row>
    <row r="1020" ht="15.75" customHeight="1">
      <c r="A1020" s="2"/>
      <c r="B1020" s="2"/>
      <c r="C1020" s="30"/>
      <c r="D1020" s="2"/>
      <c r="E1020" s="2"/>
      <c r="F1020" s="2"/>
      <c r="G1020" s="2"/>
      <c r="H1020" s="2"/>
      <c r="I1020" s="19"/>
    </row>
    <row r="1021" ht="15.75" customHeight="1">
      <c r="A1021" s="2"/>
      <c r="B1021" s="2"/>
      <c r="C1021" s="30"/>
      <c r="D1021" s="2"/>
      <c r="E1021" s="2"/>
      <c r="F1021" s="2"/>
      <c r="G1021" s="2"/>
      <c r="H1021" s="2"/>
      <c r="I1021" s="19"/>
    </row>
    <row r="1022" ht="15.75" customHeight="1">
      <c r="A1022" s="2"/>
      <c r="B1022" s="2"/>
      <c r="C1022" s="30"/>
      <c r="D1022" s="2"/>
      <c r="E1022" s="2"/>
      <c r="F1022" s="2"/>
      <c r="G1022" s="2"/>
      <c r="H1022" s="2"/>
      <c r="I1022" s="19"/>
    </row>
    <row r="1023" ht="15.75" customHeight="1">
      <c r="A1023" s="2"/>
      <c r="B1023" s="2"/>
      <c r="C1023" s="30"/>
      <c r="D1023" s="2"/>
      <c r="E1023" s="2"/>
      <c r="F1023" s="2"/>
      <c r="G1023" s="2"/>
      <c r="H1023" s="2"/>
      <c r="I1023" s="19"/>
    </row>
    <row r="1024" ht="15.75" customHeight="1">
      <c r="A1024" s="2"/>
      <c r="B1024" s="2"/>
      <c r="C1024" s="30"/>
      <c r="D1024" s="2"/>
      <c r="E1024" s="2"/>
      <c r="F1024" s="2"/>
      <c r="G1024" s="2"/>
      <c r="H1024" s="2"/>
      <c r="I1024" s="19"/>
    </row>
    <row r="1025" ht="15.75" customHeight="1">
      <c r="A1025" s="2"/>
      <c r="B1025" s="2"/>
      <c r="C1025" s="30"/>
      <c r="D1025" s="2"/>
      <c r="E1025" s="2"/>
      <c r="F1025" s="2"/>
      <c r="G1025" s="2"/>
      <c r="H1025" s="2"/>
      <c r="I1025" s="19"/>
    </row>
    <row r="1026" ht="15.75" customHeight="1">
      <c r="A1026" s="2"/>
      <c r="B1026" s="2"/>
      <c r="C1026" s="30"/>
      <c r="D1026" s="2"/>
      <c r="E1026" s="2"/>
      <c r="F1026" s="2"/>
      <c r="G1026" s="2"/>
      <c r="H1026" s="2"/>
      <c r="I1026" s="19"/>
    </row>
    <row r="1027" ht="15.75" customHeight="1">
      <c r="A1027" s="2"/>
      <c r="B1027" s="2"/>
      <c r="C1027" s="30"/>
      <c r="D1027" s="2"/>
      <c r="E1027" s="2"/>
      <c r="F1027" s="2"/>
      <c r="G1027" s="2"/>
      <c r="H1027" s="2"/>
      <c r="I1027" s="19"/>
    </row>
    <row r="1028" ht="15.75" customHeight="1">
      <c r="A1028" s="2"/>
      <c r="B1028" s="2"/>
      <c r="C1028" s="30"/>
      <c r="D1028" s="2"/>
      <c r="E1028" s="2"/>
      <c r="F1028" s="2"/>
      <c r="G1028" s="2"/>
      <c r="H1028" s="2"/>
      <c r="I1028" s="19"/>
    </row>
    <row r="1029" ht="15.75" customHeight="1">
      <c r="A1029" s="2"/>
      <c r="B1029" s="2"/>
      <c r="C1029" s="30"/>
      <c r="D1029" s="2"/>
      <c r="E1029" s="2"/>
      <c r="F1029" s="2"/>
      <c r="G1029" s="2"/>
      <c r="H1029" s="2"/>
      <c r="I1029" s="19"/>
    </row>
    <row r="1030" ht="15.75" customHeight="1">
      <c r="A1030" s="2"/>
      <c r="B1030" s="2"/>
      <c r="C1030" s="30"/>
      <c r="D1030" s="2"/>
      <c r="E1030" s="2"/>
      <c r="F1030" s="2"/>
      <c r="G1030" s="2"/>
      <c r="H1030" s="2"/>
      <c r="I1030" s="19"/>
    </row>
    <row r="1031" ht="15.75" customHeight="1">
      <c r="A1031" s="2"/>
      <c r="B1031" s="2"/>
      <c r="C1031" s="30"/>
      <c r="D1031" s="2"/>
      <c r="E1031" s="2"/>
      <c r="F1031" s="2"/>
      <c r="G1031" s="2"/>
      <c r="H1031" s="2"/>
      <c r="I1031" s="19"/>
    </row>
    <row r="1032" ht="15.75" customHeight="1">
      <c r="A1032" s="2"/>
      <c r="B1032" s="2"/>
      <c r="C1032" s="30"/>
      <c r="D1032" s="2"/>
      <c r="E1032" s="2"/>
      <c r="F1032" s="2"/>
      <c r="G1032" s="2"/>
      <c r="H1032" s="2"/>
      <c r="I1032" s="19"/>
    </row>
    <row r="1033" ht="15.75" customHeight="1">
      <c r="A1033" s="2"/>
      <c r="B1033" s="2"/>
      <c r="C1033" s="30"/>
      <c r="D1033" s="2"/>
      <c r="E1033" s="2"/>
      <c r="F1033" s="2"/>
      <c r="G1033" s="2"/>
      <c r="H1033" s="2"/>
      <c r="I1033" s="19"/>
    </row>
    <row r="1034" ht="15.75" customHeight="1">
      <c r="A1034" s="2"/>
      <c r="B1034" s="2"/>
      <c r="C1034" s="30"/>
      <c r="D1034" s="2"/>
      <c r="E1034" s="2"/>
      <c r="F1034" s="2"/>
      <c r="G1034" s="2"/>
      <c r="H1034" s="2"/>
      <c r="I1034" s="19"/>
    </row>
    <row r="1035" ht="15.75" customHeight="1">
      <c r="A1035" s="2"/>
      <c r="B1035" s="2"/>
      <c r="C1035" s="30"/>
      <c r="D1035" s="2"/>
      <c r="E1035" s="2"/>
      <c r="F1035" s="2"/>
      <c r="G1035" s="2"/>
      <c r="H1035" s="2"/>
      <c r="I1035" s="19"/>
    </row>
    <row r="1036" ht="15.75" customHeight="1">
      <c r="A1036" s="2"/>
      <c r="B1036" s="2"/>
      <c r="C1036" s="30"/>
      <c r="D1036" s="2"/>
      <c r="E1036" s="2"/>
      <c r="F1036" s="2"/>
      <c r="G1036" s="2"/>
      <c r="H1036" s="2"/>
      <c r="I1036" s="19"/>
    </row>
    <row r="1037" ht="15.75" customHeight="1">
      <c r="A1037" s="2"/>
      <c r="B1037" s="2"/>
      <c r="C1037" s="30"/>
      <c r="D1037" s="2"/>
      <c r="E1037" s="2"/>
      <c r="F1037" s="2"/>
      <c r="G1037" s="2"/>
      <c r="H1037" s="2"/>
      <c r="I1037" s="19"/>
    </row>
    <row r="1038" ht="15.75" customHeight="1">
      <c r="A1038" s="2"/>
      <c r="B1038" s="2"/>
      <c r="C1038" s="30"/>
      <c r="D1038" s="2"/>
      <c r="E1038" s="2"/>
      <c r="F1038" s="2"/>
      <c r="G1038" s="2"/>
      <c r="H1038" s="2"/>
      <c r="I1038" s="19"/>
    </row>
    <row r="1039" ht="15.75" customHeight="1">
      <c r="A1039" s="2"/>
      <c r="B1039" s="2"/>
      <c r="C1039" s="30"/>
      <c r="D1039" s="2"/>
      <c r="E1039" s="2"/>
      <c r="F1039" s="2"/>
      <c r="G1039" s="2"/>
      <c r="H1039" s="2"/>
      <c r="I1039" s="19"/>
    </row>
    <row r="1040" ht="15.75" customHeight="1">
      <c r="A1040" s="2"/>
      <c r="B1040" s="2"/>
      <c r="C1040" s="30"/>
      <c r="D1040" s="2"/>
      <c r="E1040" s="2"/>
      <c r="F1040" s="2"/>
      <c r="G1040" s="2"/>
      <c r="H1040" s="2"/>
      <c r="I1040" s="19"/>
    </row>
    <row r="1041" ht="15.75" customHeight="1">
      <c r="A1041" s="2"/>
      <c r="B1041" s="2"/>
      <c r="C1041" s="30"/>
      <c r="D1041" s="2"/>
      <c r="E1041" s="2"/>
      <c r="F1041" s="2"/>
      <c r="G1041" s="2"/>
      <c r="H1041" s="2"/>
      <c r="I1041" s="19"/>
    </row>
    <row r="1042" ht="15.75" customHeight="1">
      <c r="A1042" s="2"/>
      <c r="B1042" s="2"/>
      <c r="C1042" s="30"/>
      <c r="D1042" s="2"/>
      <c r="E1042" s="2"/>
      <c r="F1042" s="2"/>
      <c r="G1042" s="2"/>
      <c r="H1042" s="2"/>
      <c r="I1042" s="19"/>
    </row>
    <row r="1043" ht="15.75" customHeight="1">
      <c r="A1043" s="2"/>
      <c r="B1043" s="2"/>
      <c r="C1043" s="30"/>
      <c r="D1043" s="2"/>
      <c r="E1043" s="2"/>
      <c r="F1043" s="2"/>
      <c r="G1043" s="2"/>
      <c r="H1043" s="2"/>
      <c r="I1043" s="19"/>
    </row>
    <row r="1044" ht="15.75" customHeight="1">
      <c r="A1044" s="2"/>
      <c r="B1044" s="2"/>
      <c r="C1044" s="30"/>
      <c r="D1044" s="2"/>
      <c r="E1044" s="2"/>
      <c r="F1044" s="2"/>
      <c r="G1044" s="2"/>
      <c r="H1044" s="2"/>
      <c r="I1044" s="19"/>
    </row>
    <row r="1045" ht="15.75" customHeight="1">
      <c r="A1045" s="2"/>
      <c r="B1045" s="2"/>
      <c r="C1045" s="30"/>
      <c r="D1045" s="2"/>
      <c r="E1045" s="2"/>
      <c r="F1045" s="2"/>
      <c r="G1045" s="2"/>
      <c r="H1045" s="2"/>
      <c r="I1045" s="19"/>
    </row>
    <row r="1046" ht="15.75" customHeight="1">
      <c r="A1046" s="2"/>
      <c r="B1046" s="2"/>
      <c r="C1046" s="30"/>
      <c r="D1046" s="2"/>
      <c r="E1046" s="2"/>
      <c r="F1046" s="2"/>
      <c r="G1046" s="2"/>
      <c r="H1046" s="2"/>
      <c r="I1046" s="19"/>
    </row>
    <row r="1047" ht="15.75" customHeight="1">
      <c r="A1047" s="2"/>
      <c r="B1047" s="2"/>
      <c r="C1047" s="30"/>
      <c r="D1047" s="2"/>
      <c r="E1047" s="2"/>
      <c r="F1047" s="2"/>
      <c r="G1047" s="2"/>
      <c r="H1047" s="2"/>
      <c r="I1047" s="19"/>
    </row>
    <row r="1048" ht="15.75" customHeight="1">
      <c r="A1048" s="2"/>
      <c r="B1048" s="2"/>
      <c r="C1048" s="30"/>
      <c r="D1048" s="2"/>
      <c r="E1048" s="2"/>
      <c r="F1048" s="2"/>
      <c r="G1048" s="2"/>
      <c r="H1048" s="2"/>
      <c r="I1048" s="19"/>
    </row>
    <row r="1049" ht="15.75" customHeight="1">
      <c r="A1049" s="2"/>
      <c r="B1049" s="2"/>
      <c r="C1049" s="30"/>
      <c r="D1049" s="2"/>
      <c r="E1049" s="2"/>
      <c r="F1049" s="2"/>
      <c r="G1049" s="2"/>
      <c r="H1049" s="2"/>
      <c r="I1049" s="19"/>
    </row>
    <row r="1050" ht="15.75" customHeight="1">
      <c r="A1050" s="2"/>
      <c r="B1050" s="2"/>
      <c r="C1050" s="30"/>
      <c r="D1050" s="2"/>
      <c r="E1050" s="2"/>
      <c r="F1050" s="2"/>
      <c r="G1050" s="2"/>
      <c r="H1050" s="2"/>
      <c r="I1050" s="19"/>
    </row>
    <row r="1051" ht="15.75" customHeight="1">
      <c r="A1051" s="2"/>
      <c r="B1051" s="2"/>
      <c r="C1051" s="30"/>
      <c r="D1051" s="2"/>
      <c r="E1051" s="2"/>
      <c r="F1051" s="2"/>
      <c r="G1051" s="2"/>
      <c r="H1051" s="2"/>
      <c r="I1051" s="19"/>
    </row>
    <row r="1052" ht="15.75" customHeight="1">
      <c r="A1052" s="2"/>
      <c r="B1052" s="2"/>
      <c r="C1052" s="30"/>
      <c r="D1052" s="2"/>
      <c r="E1052" s="2"/>
      <c r="F1052" s="2"/>
      <c r="G1052" s="2"/>
      <c r="H1052" s="2"/>
      <c r="I1052" s="19"/>
    </row>
    <row r="1053" ht="15.75" customHeight="1">
      <c r="A1053" s="2"/>
      <c r="B1053" s="2"/>
      <c r="C1053" s="30"/>
      <c r="D1053" s="2"/>
      <c r="E1053" s="2"/>
      <c r="F1053" s="2"/>
      <c r="G1053" s="2"/>
      <c r="H1053" s="2"/>
      <c r="I1053" s="19"/>
    </row>
    <row r="1054" ht="15.75" customHeight="1">
      <c r="A1054" s="2"/>
      <c r="B1054" s="2"/>
      <c r="C1054" s="30"/>
      <c r="D1054" s="2"/>
      <c r="E1054" s="2"/>
      <c r="F1054" s="2"/>
      <c r="G1054" s="2"/>
      <c r="H1054" s="2"/>
      <c r="I1054" s="19"/>
    </row>
    <row r="1055" ht="15.75" customHeight="1">
      <c r="A1055" s="2"/>
      <c r="B1055" s="2"/>
      <c r="C1055" s="30"/>
      <c r="D1055" s="2"/>
      <c r="E1055" s="2"/>
      <c r="F1055" s="2"/>
      <c r="G1055" s="2"/>
      <c r="H1055" s="2"/>
      <c r="I1055" s="19"/>
    </row>
    <row r="1056" ht="15.75" customHeight="1">
      <c r="A1056" s="2"/>
      <c r="B1056" s="2"/>
      <c r="C1056" s="30"/>
      <c r="D1056" s="2"/>
      <c r="E1056" s="2"/>
      <c r="F1056" s="2"/>
      <c r="G1056" s="2"/>
      <c r="H1056" s="2"/>
      <c r="I1056" s="19"/>
    </row>
    <row r="1057" ht="15.75" customHeight="1">
      <c r="A1057" s="2"/>
      <c r="B1057" s="2"/>
      <c r="C1057" s="30"/>
      <c r="D1057" s="2"/>
      <c r="E1057" s="2"/>
      <c r="F1057" s="2"/>
      <c r="G1057" s="2"/>
      <c r="H1057" s="2"/>
      <c r="I1057" s="19"/>
    </row>
    <row r="1058" ht="15.75" customHeight="1">
      <c r="A1058" s="2"/>
      <c r="B1058" s="2"/>
      <c r="C1058" s="30"/>
      <c r="D1058" s="2"/>
      <c r="E1058" s="2"/>
      <c r="F1058" s="2"/>
      <c r="G1058" s="2"/>
      <c r="H1058" s="2"/>
      <c r="I1058" s="19"/>
    </row>
    <row r="1059" ht="15.75" customHeight="1">
      <c r="A1059" s="2"/>
      <c r="B1059" s="2"/>
      <c r="C1059" s="30"/>
      <c r="D1059" s="2"/>
      <c r="E1059" s="2"/>
      <c r="F1059" s="2"/>
      <c r="G1059" s="2"/>
      <c r="H1059" s="2"/>
      <c r="I1059" s="19"/>
    </row>
    <row r="1060" ht="15.75" customHeight="1">
      <c r="A1060" s="2"/>
      <c r="B1060" s="2"/>
      <c r="C1060" s="30"/>
      <c r="D1060" s="2"/>
      <c r="E1060" s="2"/>
      <c r="F1060" s="2"/>
      <c r="G1060" s="2"/>
      <c r="H1060" s="2"/>
      <c r="I1060" s="19"/>
    </row>
    <row r="1061" ht="15.75" customHeight="1">
      <c r="A1061" s="2"/>
      <c r="B1061" s="2"/>
      <c r="C1061" s="30"/>
      <c r="D1061" s="2"/>
      <c r="E1061" s="2"/>
      <c r="F1061" s="2"/>
      <c r="G1061" s="2"/>
      <c r="H1061" s="2"/>
      <c r="I1061" s="19"/>
    </row>
    <row r="1062" ht="15.75" customHeight="1">
      <c r="A1062" s="2"/>
      <c r="B1062" s="2"/>
      <c r="C1062" s="30"/>
      <c r="D1062" s="2"/>
      <c r="E1062" s="2"/>
      <c r="F1062" s="2"/>
      <c r="G1062" s="2"/>
      <c r="H1062" s="2"/>
      <c r="I1062" s="19"/>
    </row>
    <row r="1063" ht="15.75" customHeight="1">
      <c r="A1063" s="2"/>
      <c r="B1063" s="2"/>
      <c r="C1063" s="30"/>
      <c r="D1063" s="2"/>
      <c r="E1063" s="2"/>
      <c r="F1063" s="2"/>
      <c r="G1063" s="2"/>
      <c r="H1063" s="2"/>
      <c r="I1063" s="19"/>
    </row>
    <row r="1064" ht="15.75" customHeight="1">
      <c r="A1064" s="2"/>
      <c r="B1064" s="2"/>
      <c r="C1064" s="30"/>
      <c r="D1064" s="2"/>
      <c r="E1064" s="2"/>
      <c r="F1064" s="2"/>
      <c r="G1064" s="2"/>
      <c r="H1064" s="2"/>
      <c r="I1064" s="19"/>
    </row>
    <row r="1065" ht="15.75" customHeight="1">
      <c r="A1065" s="2"/>
      <c r="B1065" s="2"/>
      <c r="C1065" s="30"/>
      <c r="D1065" s="2"/>
      <c r="E1065" s="2"/>
      <c r="F1065" s="2"/>
      <c r="G1065" s="2"/>
      <c r="H1065" s="2"/>
      <c r="I1065" s="19"/>
    </row>
    <row r="1066" ht="15.75" customHeight="1">
      <c r="A1066" s="2"/>
      <c r="B1066" s="2"/>
      <c r="C1066" s="30"/>
      <c r="D1066" s="2"/>
      <c r="E1066" s="2"/>
      <c r="F1066" s="2"/>
      <c r="G1066" s="2"/>
      <c r="H1066" s="2"/>
      <c r="I1066" s="19"/>
    </row>
    <row r="1067" ht="15.75" customHeight="1">
      <c r="A1067" s="2"/>
      <c r="B1067" s="2"/>
      <c r="C1067" s="30"/>
      <c r="D1067" s="2"/>
      <c r="E1067" s="2"/>
      <c r="F1067" s="2"/>
      <c r="G1067" s="2"/>
      <c r="H1067" s="2"/>
      <c r="I1067" s="19"/>
    </row>
    <row r="1068" ht="15.75" customHeight="1">
      <c r="A1068" s="2"/>
      <c r="B1068" s="2"/>
      <c r="C1068" s="30"/>
      <c r="D1068" s="2"/>
      <c r="E1068" s="2"/>
      <c r="F1068" s="2"/>
      <c r="G1068" s="2"/>
      <c r="H1068" s="2"/>
      <c r="I1068" s="19"/>
    </row>
    <row r="1069" ht="15.75" customHeight="1">
      <c r="A1069" s="2"/>
      <c r="B1069" s="2"/>
      <c r="C1069" s="30"/>
      <c r="D1069" s="2"/>
      <c r="E1069" s="2"/>
      <c r="F1069" s="2"/>
      <c r="G1069" s="2"/>
      <c r="H1069" s="2"/>
      <c r="I1069" s="19"/>
    </row>
    <row r="1070" ht="15.75" customHeight="1">
      <c r="A1070" s="2"/>
      <c r="B1070" s="2"/>
      <c r="C1070" s="30"/>
      <c r="D1070" s="2"/>
      <c r="E1070" s="2"/>
      <c r="F1070" s="2"/>
      <c r="G1070" s="2"/>
      <c r="H1070" s="2"/>
      <c r="I1070" s="19"/>
    </row>
    <row r="1071" ht="15.75" customHeight="1">
      <c r="A1071" s="2"/>
      <c r="B1071" s="2"/>
      <c r="C1071" s="30"/>
      <c r="D1071" s="2"/>
      <c r="E1071" s="2"/>
      <c r="F1071" s="2"/>
      <c r="G1071" s="2"/>
      <c r="H1071" s="2"/>
      <c r="I1071" s="19"/>
    </row>
    <row r="1072" ht="15.75" customHeight="1">
      <c r="A1072" s="2"/>
      <c r="B1072" s="2"/>
      <c r="C1072" s="30"/>
      <c r="D1072" s="2"/>
      <c r="E1072" s="2"/>
      <c r="F1072" s="2"/>
      <c r="G1072" s="2"/>
      <c r="H1072" s="2"/>
      <c r="I1072" s="19"/>
    </row>
    <row r="1073" ht="15.75" customHeight="1">
      <c r="A1073" s="2"/>
      <c r="B1073" s="2"/>
      <c r="C1073" s="30"/>
      <c r="D1073" s="2"/>
      <c r="E1073" s="2"/>
      <c r="F1073" s="2"/>
      <c r="G1073" s="2"/>
      <c r="H1073" s="2"/>
      <c r="I1073" s="19"/>
    </row>
    <row r="1074" ht="15.75" customHeight="1">
      <c r="A1074" s="2"/>
      <c r="B1074" s="2"/>
      <c r="C1074" s="30"/>
      <c r="D1074" s="2"/>
      <c r="E1074" s="2"/>
      <c r="F1074" s="2"/>
      <c r="G1074" s="2"/>
      <c r="H1074" s="2"/>
      <c r="I1074" s="19"/>
    </row>
    <row r="1075" ht="15.75" customHeight="1">
      <c r="A1075" s="2"/>
      <c r="B1075" s="2"/>
      <c r="C1075" s="30"/>
      <c r="D1075" s="2"/>
      <c r="E1075" s="2"/>
      <c r="F1075" s="2"/>
      <c r="G1075" s="2"/>
      <c r="H1075" s="2"/>
      <c r="I1075" s="19"/>
    </row>
    <row r="1076" ht="15.75" customHeight="1">
      <c r="A1076" s="2"/>
      <c r="B1076" s="2"/>
      <c r="C1076" s="30"/>
      <c r="D1076" s="2"/>
      <c r="E1076" s="2"/>
      <c r="F1076" s="2"/>
      <c r="G1076" s="2"/>
      <c r="H1076" s="2"/>
      <c r="I1076" s="19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19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19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19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19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19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19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19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19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19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19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19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19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19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19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19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19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19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19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19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19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19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19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19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19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19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19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19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19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19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19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19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19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19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19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19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19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19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19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19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19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19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19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19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19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19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19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19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19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19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19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19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19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19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19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19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19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19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19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19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19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19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19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19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19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19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19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19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19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19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19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19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19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19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19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19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19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19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19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19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19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19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19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19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19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19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19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19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19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19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19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19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19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19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19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19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19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19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19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19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19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19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19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19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19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19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19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19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19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19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19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19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19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19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19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19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19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19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19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19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19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19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19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19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19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19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19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19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19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19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19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19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19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19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19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19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19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19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19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19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19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19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19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19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19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19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19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19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19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19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19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19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19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19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19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19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19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19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19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19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19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19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19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19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19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19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19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19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19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19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19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19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19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19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19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19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19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19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19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19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19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19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19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19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19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19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19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19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19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19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19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19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19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19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19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19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19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19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19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19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19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19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19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19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19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19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19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19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19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19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19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19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19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19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19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19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19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19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19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19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19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19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19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19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19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19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19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19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19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19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19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19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19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19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19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19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19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19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19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19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19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19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19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19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19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19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19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19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19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19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19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19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19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19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19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19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19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19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19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19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19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19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19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19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19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19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19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19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19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19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19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19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19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19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19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19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19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19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19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19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19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19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19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19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19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19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19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19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19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19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19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19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19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19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19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19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19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19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19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19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19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19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19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19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19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19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19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19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19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19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19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19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19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19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19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19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19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19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19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19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19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19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19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19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19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19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19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19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19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19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19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19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19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19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19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19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19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19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19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19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19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19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19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19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19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19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19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19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19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19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19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19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19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19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19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19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19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19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19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19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19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19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19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19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19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19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19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19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19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19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19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19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19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19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19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19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19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19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19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19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19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19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19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19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19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19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19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19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19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19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19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19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19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19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19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19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19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19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19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19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19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19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19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19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19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19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19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19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19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19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19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19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19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19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19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19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19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19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19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19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19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19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19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19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19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19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19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19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19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19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19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19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19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19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19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19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19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19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19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19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19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19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19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19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19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19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19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19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19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19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19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19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19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19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19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19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19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19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19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19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19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19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19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19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19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19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19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19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19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19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19"/>
    </row>
    <row r="1547" ht="15.75" customHeight="1">
      <c r="A1547" s="2"/>
      <c r="B1547" s="2"/>
      <c r="C1547" s="2"/>
      <c r="D1547" s="2"/>
      <c r="E1547" s="2"/>
      <c r="F1547" s="2"/>
      <c r="G1547" s="2"/>
      <c r="H1547" s="2"/>
      <c r="I1547" s="19"/>
    </row>
    <row r="1548" ht="15.75" customHeight="1">
      <c r="A1548" s="2"/>
      <c r="B1548" s="2"/>
      <c r="C1548" s="2"/>
      <c r="D1548" s="2"/>
      <c r="E1548" s="2"/>
      <c r="F1548" s="2"/>
      <c r="G1548" s="2"/>
      <c r="H1548" s="2"/>
      <c r="I1548" s="19"/>
    </row>
    <row r="1549" ht="15.75" customHeight="1">
      <c r="A1549" s="2"/>
      <c r="B1549" s="2"/>
      <c r="C1549" s="2"/>
      <c r="D1549" s="2"/>
      <c r="E1549" s="2"/>
      <c r="F1549" s="2"/>
      <c r="G1549" s="2"/>
      <c r="H1549" s="2"/>
      <c r="I1549" s="19"/>
    </row>
    <row r="1550" ht="15.75" customHeight="1">
      <c r="A1550" s="2"/>
      <c r="B1550" s="2"/>
      <c r="C1550" s="2"/>
      <c r="D1550" s="2"/>
      <c r="E1550" s="2"/>
      <c r="F1550" s="2"/>
      <c r="G1550" s="2"/>
      <c r="H1550" s="2"/>
      <c r="I1550" s="19"/>
    </row>
    <row r="1551" ht="15.75" customHeight="1">
      <c r="A1551" s="2"/>
      <c r="B1551" s="2"/>
      <c r="C1551" s="2"/>
      <c r="D1551" s="2"/>
      <c r="E1551" s="2"/>
      <c r="F1551" s="2"/>
      <c r="G1551" s="2"/>
      <c r="H1551" s="2"/>
      <c r="I1551" s="19"/>
    </row>
    <row r="1552" ht="15.75" customHeight="1">
      <c r="A1552" s="2"/>
      <c r="B1552" s="2"/>
      <c r="C1552" s="2"/>
      <c r="D1552" s="2"/>
      <c r="E1552" s="2"/>
      <c r="F1552" s="2"/>
      <c r="G1552" s="2"/>
      <c r="H1552" s="2"/>
      <c r="I1552" s="19"/>
    </row>
    <row r="1553" ht="15.75" customHeight="1">
      <c r="A1553" s="2"/>
      <c r="B1553" s="2"/>
      <c r="C1553" s="2"/>
      <c r="D1553" s="2"/>
      <c r="E1553" s="2"/>
      <c r="F1553" s="2"/>
      <c r="G1553" s="2"/>
      <c r="H1553" s="2"/>
      <c r="I1553" s="19"/>
    </row>
    <row r="1554" ht="15.75" customHeight="1">
      <c r="A1554" s="2"/>
      <c r="B1554" s="2"/>
      <c r="C1554" s="2"/>
      <c r="D1554" s="2"/>
      <c r="E1554" s="2"/>
      <c r="F1554" s="2"/>
      <c r="G1554" s="2"/>
      <c r="H1554" s="2"/>
      <c r="I1554" s="19"/>
    </row>
    <row r="1555" ht="15.75" customHeight="1">
      <c r="A1555" s="2"/>
      <c r="B1555" s="2"/>
      <c r="C1555" s="2"/>
      <c r="D1555" s="2"/>
      <c r="E1555" s="2"/>
      <c r="F1555" s="2"/>
      <c r="G1555" s="2"/>
      <c r="H1555" s="2"/>
      <c r="I1555" s="19"/>
    </row>
    <row r="1556" ht="15.75" customHeight="1">
      <c r="A1556" s="2"/>
      <c r="B1556" s="2"/>
      <c r="C1556" s="2"/>
      <c r="D1556" s="2"/>
      <c r="E1556" s="2"/>
      <c r="F1556" s="2"/>
      <c r="G1556" s="2"/>
      <c r="H1556" s="2"/>
      <c r="I1556" s="19"/>
    </row>
    <row r="1557" ht="15.75" customHeight="1">
      <c r="A1557" s="2"/>
      <c r="B1557" s="2"/>
      <c r="C1557" s="2"/>
      <c r="D1557" s="2"/>
      <c r="E1557" s="2"/>
      <c r="F1557" s="2"/>
      <c r="G1557" s="2"/>
      <c r="H1557" s="2"/>
      <c r="I1557" s="19"/>
    </row>
    <row r="1558" ht="15.75" customHeight="1">
      <c r="A1558" s="2"/>
      <c r="B1558" s="2"/>
      <c r="C1558" s="2"/>
      <c r="D1558" s="2"/>
      <c r="E1558" s="2"/>
      <c r="F1558" s="2"/>
      <c r="G1558" s="2"/>
      <c r="H1558" s="2"/>
      <c r="I1558" s="19"/>
    </row>
    <row r="1559" ht="15.75" customHeight="1">
      <c r="A1559" s="2"/>
      <c r="B1559" s="2"/>
      <c r="C1559" s="2"/>
      <c r="D1559" s="2"/>
      <c r="E1559" s="2"/>
      <c r="F1559" s="2"/>
      <c r="G1559" s="2"/>
      <c r="H1559" s="2"/>
      <c r="I1559" s="19"/>
    </row>
    <row r="1560" ht="15.75" customHeight="1">
      <c r="A1560" s="2"/>
      <c r="B1560" s="2"/>
      <c r="C1560" s="2"/>
      <c r="D1560" s="2"/>
      <c r="E1560" s="2"/>
      <c r="F1560" s="2"/>
      <c r="G1560" s="2"/>
      <c r="H1560" s="2"/>
      <c r="I1560" s="19"/>
    </row>
    <row r="1561" ht="15.75" customHeight="1">
      <c r="A1561" s="2"/>
      <c r="B1561" s="2"/>
      <c r="C1561" s="2"/>
      <c r="D1561" s="2"/>
      <c r="E1561" s="2"/>
      <c r="F1561" s="2"/>
      <c r="G1561" s="2"/>
      <c r="H1561" s="2"/>
      <c r="I1561" s="19"/>
    </row>
    <row r="1562" ht="15.75" customHeight="1">
      <c r="A1562" s="2"/>
      <c r="B1562" s="2"/>
      <c r="C1562" s="2"/>
      <c r="D1562" s="2"/>
      <c r="E1562" s="2"/>
      <c r="F1562" s="2"/>
      <c r="G1562" s="2"/>
      <c r="H1562" s="2"/>
      <c r="I1562" s="19"/>
    </row>
    <row r="1563" ht="15.75" customHeight="1">
      <c r="A1563" s="2"/>
      <c r="B1563" s="2"/>
      <c r="C1563" s="2"/>
      <c r="D1563" s="2"/>
      <c r="E1563" s="2"/>
      <c r="F1563" s="2"/>
      <c r="G1563" s="2"/>
      <c r="H1563" s="2"/>
      <c r="I1563" s="19"/>
    </row>
    <row r="1564" ht="15.75" customHeight="1">
      <c r="A1564" s="2"/>
      <c r="B1564" s="2"/>
      <c r="C1564" s="2"/>
      <c r="D1564" s="2"/>
      <c r="E1564" s="2"/>
      <c r="F1564" s="2"/>
      <c r="G1564" s="2"/>
      <c r="H1564" s="2"/>
      <c r="I1564" s="19"/>
    </row>
    <row r="1565" ht="15.75" customHeight="1">
      <c r="A1565" s="2"/>
      <c r="B1565" s="2"/>
      <c r="C1565" s="2"/>
      <c r="D1565" s="2"/>
      <c r="E1565" s="2"/>
      <c r="F1565" s="2"/>
      <c r="G1565" s="2"/>
      <c r="H1565" s="2"/>
      <c r="I1565" s="19"/>
    </row>
    <row r="1566" ht="15.75" customHeight="1">
      <c r="A1566" s="2"/>
      <c r="B1566" s="2"/>
      <c r="C1566" s="2"/>
      <c r="D1566" s="2"/>
      <c r="E1566" s="2"/>
      <c r="F1566" s="2"/>
      <c r="G1566" s="2"/>
      <c r="H1566" s="2"/>
      <c r="I1566" s="19"/>
    </row>
    <row r="1567" ht="15.75" customHeight="1">
      <c r="A1567" s="2"/>
      <c r="B1567" s="2"/>
      <c r="C1567" s="2"/>
      <c r="D1567" s="2"/>
      <c r="E1567" s="2"/>
      <c r="F1567" s="2"/>
      <c r="G1567" s="2"/>
      <c r="H1567" s="2"/>
      <c r="I1567" s="19"/>
    </row>
    <row r="1568" ht="15.75" customHeight="1">
      <c r="A1568" s="2"/>
      <c r="B1568" s="2"/>
      <c r="C1568" s="2"/>
      <c r="D1568" s="2"/>
      <c r="E1568" s="2"/>
      <c r="F1568" s="2"/>
      <c r="G1568" s="2"/>
      <c r="H1568" s="2"/>
      <c r="I1568" s="19"/>
    </row>
    <row r="1569" ht="15.75" customHeight="1">
      <c r="A1569" s="2"/>
      <c r="B1569" s="2"/>
      <c r="C1569" s="2"/>
      <c r="D1569" s="2"/>
      <c r="E1569" s="2"/>
      <c r="F1569" s="2"/>
      <c r="G1569" s="2"/>
      <c r="H1569" s="2"/>
      <c r="I1569" s="19"/>
    </row>
    <row r="1570" ht="15.75" customHeight="1">
      <c r="A1570" s="2"/>
      <c r="B1570" s="2"/>
      <c r="C1570" s="2"/>
      <c r="D1570" s="2"/>
      <c r="E1570" s="2"/>
      <c r="F1570" s="2"/>
      <c r="G1570" s="2"/>
      <c r="H1570" s="2"/>
      <c r="I1570" s="19"/>
    </row>
    <row r="1571" ht="15.75" customHeight="1">
      <c r="A1571" s="2"/>
      <c r="B1571" s="2"/>
      <c r="C1571" s="2"/>
      <c r="D1571" s="2"/>
      <c r="E1571" s="2"/>
      <c r="F1571" s="2"/>
      <c r="G1571" s="2"/>
      <c r="H1571" s="2"/>
      <c r="I1571" s="19"/>
    </row>
    <row r="1572" ht="15.75" customHeight="1">
      <c r="A1572" s="2"/>
      <c r="B1572" s="2"/>
      <c r="C1572" s="2"/>
      <c r="D1572" s="2"/>
      <c r="E1572" s="2"/>
      <c r="F1572" s="2"/>
      <c r="G1572" s="2"/>
      <c r="H1572" s="2"/>
      <c r="I1572" s="19"/>
    </row>
    <row r="1573" ht="15.75" customHeight="1">
      <c r="A1573" s="2"/>
      <c r="B1573" s="2"/>
      <c r="C1573" s="2"/>
      <c r="D1573" s="2"/>
      <c r="E1573" s="2"/>
      <c r="F1573" s="2"/>
      <c r="G1573" s="2"/>
      <c r="H1573" s="2"/>
      <c r="I1573" s="19"/>
    </row>
    <row r="1574" ht="15.75" customHeight="1">
      <c r="A1574" s="2"/>
      <c r="B1574" s="2"/>
      <c r="C1574" s="2"/>
      <c r="D1574" s="2"/>
      <c r="E1574" s="2"/>
      <c r="F1574" s="2"/>
      <c r="G1574" s="2"/>
      <c r="H1574" s="2"/>
      <c r="I1574" s="19"/>
    </row>
    <row r="1575" ht="15.75" customHeight="1">
      <c r="A1575" s="2"/>
      <c r="B1575" s="2"/>
      <c r="C1575" s="2"/>
      <c r="D1575" s="2"/>
      <c r="E1575" s="2"/>
      <c r="F1575" s="2"/>
      <c r="G1575" s="2"/>
      <c r="H1575" s="2"/>
      <c r="I1575" s="19"/>
    </row>
    <row r="1576" ht="15.75" customHeight="1">
      <c r="A1576" s="2"/>
      <c r="B1576" s="2"/>
      <c r="C1576" s="2"/>
      <c r="D1576" s="2"/>
      <c r="E1576" s="2"/>
      <c r="F1576" s="2"/>
      <c r="G1576" s="2"/>
      <c r="H1576" s="2"/>
      <c r="I1576" s="19"/>
    </row>
    <row r="1577" ht="15.75" customHeight="1">
      <c r="A1577" s="2"/>
      <c r="B1577" s="2"/>
      <c r="C1577" s="2"/>
      <c r="D1577" s="2"/>
      <c r="E1577" s="2"/>
      <c r="F1577" s="2"/>
      <c r="G1577" s="2"/>
      <c r="H1577" s="2"/>
      <c r="I1577" s="19"/>
    </row>
    <row r="1578" ht="15.75" customHeight="1">
      <c r="A1578" s="2"/>
      <c r="B1578" s="2"/>
      <c r="C1578" s="2"/>
      <c r="D1578" s="2"/>
      <c r="E1578" s="2"/>
      <c r="F1578" s="2"/>
      <c r="G1578" s="2"/>
      <c r="H1578" s="2"/>
      <c r="I1578" s="19"/>
    </row>
    <row r="1579" ht="15.75" customHeight="1">
      <c r="A1579" s="2"/>
      <c r="B1579" s="2"/>
      <c r="C1579" s="2"/>
      <c r="D1579" s="2"/>
      <c r="E1579" s="2"/>
      <c r="F1579" s="2"/>
      <c r="G1579" s="2"/>
      <c r="H1579" s="2"/>
      <c r="I1579" s="19"/>
    </row>
    <row r="1580" ht="15.75" customHeight="1">
      <c r="A1580" s="2"/>
      <c r="B1580" s="2"/>
      <c r="C1580" s="2"/>
      <c r="D1580" s="2"/>
      <c r="E1580" s="2"/>
      <c r="F1580" s="2"/>
      <c r="G1580" s="2"/>
      <c r="H1580" s="2"/>
      <c r="I1580" s="19"/>
    </row>
    <row r="1581" ht="15.75" customHeight="1">
      <c r="A1581" s="2"/>
      <c r="B1581" s="2"/>
      <c r="C1581" s="2"/>
      <c r="D1581" s="2"/>
      <c r="E1581" s="2"/>
      <c r="F1581" s="2"/>
      <c r="G1581" s="2"/>
      <c r="H1581" s="2"/>
      <c r="I1581" s="19"/>
    </row>
    <row r="1582" ht="15.75" customHeight="1">
      <c r="A1582" s="2"/>
      <c r="B1582" s="2"/>
      <c r="C1582" s="2"/>
      <c r="D1582" s="2"/>
      <c r="E1582" s="2"/>
      <c r="F1582" s="2"/>
      <c r="G1582" s="2"/>
      <c r="H1582" s="2"/>
      <c r="I1582" s="19"/>
    </row>
    <row r="1583" ht="15.75" customHeight="1">
      <c r="A1583" s="2"/>
      <c r="B1583" s="2"/>
      <c r="C1583" s="2"/>
      <c r="D1583" s="2"/>
      <c r="E1583" s="2"/>
      <c r="F1583" s="2"/>
      <c r="G1583" s="2"/>
      <c r="H1583" s="2"/>
      <c r="I1583" s="19"/>
    </row>
    <row r="1584" ht="15.75" customHeight="1">
      <c r="A1584" s="2"/>
      <c r="B1584" s="2"/>
      <c r="C1584" s="2"/>
      <c r="D1584" s="2"/>
      <c r="E1584" s="2"/>
      <c r="F1584" s="2"/>
      <c r="G1584" s="2"/>
      <c r="H1584" s="2"/>
      <c r="I1584" s="19"/>
    </row>
    <row r="1585" ht="15.75" customHeight="1">
      <c r="A1585" s="2"/>
      <c r="B1585" s="2"/>
      <c r="C1585" s="2"/>
      <c r="D1585" s="2"/>
      <c r="E1585" s="2"/>
      <c r="F1585" s="2"/>
      <c r="G1585" s="2"/>
      <c r="H1585" s="2"/>
      <c r="I1585" s="19"/>
    </row>
    <row r="1586" ht="15.75" customHeight="1">
      <c r="A1586" s="2"/>
      <c r="B1586" s="2"/>
      <c r="C1586" s="2"/>
      <c r="D1586" s="2"/>
      <c r="E1586" s="2"/>
      <c r="F1586" s="2"/>
      <c r="G1586" s="2"/>
      <c r="H1586" s="2"/>
      <c r="I1586" s="19"/>
    </row>
    <row r="1587" ht="15.75" customHeight="1">
      <c r="A1587" s="2"/>
      <c r="B1587" s="2"/>
      <c r="C1587" s="2"/>
      <c r="D1587" s="2"/>
      <c r="E1587" s="2"/>
      <c r="F1587" s="2"/>
      <c r="G1587" s="2"/>
      <c r="H1587" s="2"/>
      <c r="I1587" s="19"/>
    </row>
    <row r="1588" ht="15.75" customHeight="1">
      <c r="A1588" s="2"/>
      <c r="B1588" s="2"/>
      <c r="C1588" s="2"/>
      <c r="D1588" s="2"/>
      <c r="E1588" s="2"/>
      <c r="F1588" s="2"/>
      <c r="G1588" s="2"/>
      <c r="H1588" s="2"/>
      <c r="I1588" s="19"/>
    </row>
    <row r="1589" ht="15.75" customHeight="1">
      <c r="A1589" s="2"/>
      <c r="B1589" s="2"/>
      <c r="C1589" s="2"/>
      <c r="D1589" s="2"/>
      <c r="E1589" s="2"/>
      <c r="F1589" s="2"/>
      <c r="G1589" s="2"/>
      <c r="H1589" s="2"/>
      <c r="I1589" s="19"/>
    </row>
    <row r="1590" ht="15.75" customHeight="1">
      <c r="A1590" s="2"/>
      <c r="B1590" s="2"/>
      <c r="C1590" s="2"/>
      <c r="D1590" s="2"/>
      <c r="E1590" s="2"/>
      <c r="F1590" s="2"/>
      <c r="G1590" s="2"/>
      <c r="H1590" s="2"/>
      <c r="I1590" s="19"/>
    </row>
    <row r="1591" ht="15.75" customHeight="1">
      <c r="A1591" s="2"/>
      <c r="B1591" s="2"/>
      <c r="C1591" s="2"/>
      <c r="D1591" s="2"/>
      <c r="E1591" s="2"/>
      <c r="F1591" s="2"/>
      <c r="G1591" s="2"/>
      <c r="H1591" s="2"/>
      <c r="I1591" s="19"/>
    </row>
    <row r="1592" ht="15.75" customHeight="1">
      <c r="A1592" s="2"/>
      <c r="B1592" s="2"/>
      <c r="C1592" s="2"/>
      <c r="D1592" s="2"/>
      <c r="E1592" s="2"/>
      <c r="F1592" s="2"/>
      <c r="G1592" s="2"/>
      <c r="H1592" s="2"/>
      <c r="I1592" s="19"/>
    </row>
    <row r="1593" ht="15.75" customHeight="1">
      <c r="A1593" s="2"/>
      <c r="B1593" s="2"/>
      <c r="C1593" s="2"/>
      <c r="D1593" s="2"/>
      <c r="E1593" s="2"/>
      <c r="F1593" s="2"/>
      <c r="G1593" s="2"/>
      <c r="H1593" s="2"/>
      <c r="I1593" s="19"/>
    </row>
    <row r="1594" ht="15.75" customHeight="1">
      <c r="A1594" s="2"/>
      <c r="B1594" s="2"/>
      <c r="C1594" s="2"/>
      <c r="D1594" s="2"/>
      <c r="E1594" s="2"/>
      <c r="F1594" s="2"/>
      <c r="G1594" s="2"/>
      <c r="H1594" s="2"/>
      <c r="I1594" s="19"/>
    </row>
    <row r="1595" ht="15.75" customHeight="1">
      <c r="A1595" s="2"/>
      <c r="B1595" s="2"/>
      <c r="C1595" s="2"/>
      <c r="D1595" s="2"/>
      <c r="E1595" s="2"/>
      <c r="F1595" s="2"/>
      <c r="G1595" s="2"/>
      <c r="H1595" s="2"/>
      <c r="I1595" s="19"/>
    </row>
    <row r="1596" ht="15.75" customHeight="1">
      <c r="A1596" s="2"/>
      <c r="B1596" s="2"/>
      <c r="C1596" s="2"/>
      <c r="D1596" s="2"/>
      <c r="E1596" s="2"/>
      <c r="F1596" s="2"/>
      <c r="G1596" s="2"/>
      <c r="H1596" s="2"/>
      <c r="I1596" s="19"/>
    </row>
    <row r="1597" ht="15.75" customHeight="1">
      <c r="A1597" s="2"/>
      <c r="B1597" s="2"/>
      <c r="C1597" s="2"/>
      <c r="D1597" s="2"/>
      <c r="E1597" s="2"/>
      <c r="F1597" s="2"/>
      <c r="G1597" s="2"/>
      <c r="H1597" s="2"/>
      <c r="I1597" s="19"/>
    </row>
    <row r="1598" ht="15.75" customHeight="1">
      <c r="A1598" s="2"/>
      <c r="B1598" s="2"/>
      <c r="C1598" s="2"/>
      <c r="D1598" s="2"/>
      <c r="E1598" s="2"/>
      <c r="F1598" s="2"/>
      <c r="G1598" s="2"/>
      <c r="H1598" s="2"/>
      <c r="I1598" s="19"/>
    </row>
    <row r="1599" ht="15.75" customHeight="1">
      <c r="A1599" s="2"/>
      <c r="B1599" s="2"/>
      <c r="C1599" s="2"/>
      <c r="D1599" s="2"/>
      <c r="E1599" s="2"/>
      <c r="F1599" s="2"/>
      <c r="G1599" s="2"/>
      <c r="H1599" s="2"/>
      <c r="I1599" s="19"/>
    </row>
    <row r="1600" ht="15.75" customHeight="1">
      <c r="A1600" s="2"/>
      <c r="B1600" s="2"/>
      <c r="C1600" s="2"/>
      <c r="D1600" s="2"/>
      <c r="E1600" s="2"/>
      <c r="F1600" s="2"/>
      <c r="G1600" s="2"/>
      <c r="H1600" s="2"/>
      <c r="I1600" s="19"/>
    </row>
    <row r="1601" ht="15.75" customHeight="1">
      <c r="A1601" s="2"/>
      <c r="B1601" s="2"/>
      <c r="C1601" s="2"/>
      <c r="D1601" s="2"/>
      <c r="E1601" s="2"/>
      <c r="F1601" s="2"/>
      <c r="G1601" s="2"/>
      <c r="H1601" s="2"/>
      <c r="I1601" s="19"/>
    </row>
    <row r="1602" ht="15.75" customHeight="1">
      <c r="A1602" s="2"/>
      <c r="B1602" s="2"/>
      <c r="C1602" s="2"/>
      <c r="D1602" s="2"/>
      <c r="E1602" s="2"/>
      <c r="F1602" s="2"/>
      <c r="G1602" s="2"/>
      <c r="H1602" s="2"/>
      <c r="I1602" s="19"/>
    </row>
    <row r="1603" ht="15.75" customHeight="1">
      <c r="A1603" s="2"/>
      <c r="B1603" s="2"/>
      <c r="C1603" s="2"/>
      <c r="D1603" s="2"/>
      <c r="E1603" s="2"/>
      <c r="F1603" s="2"/>
      <c r="G1603" s="2"/>
      <c r="H1603" s="2"/>
      <c r="I1603" s="19"/>
    </row>
    <row r="1604" ht="15.75" customHeight="1">
      <c r="A1604" s="2"/>
      <c r="B1604" s="2"/>
      <c r="C1604" s="2"/>
      <c r="D1604" s="2"/>
      <c r="E1604" s="2"/>
      <c r="F1604" s="2"/>
      <c r="G1604" s="2"/>
      <c r="H1604" s="2"/>
      <c r="I1604" s="19"/>
    </row>
    <row r="1605" ht="15.75" customHeight="1">
      <c r="A1605" s="2"/>
      <c r="B1605" s="2"/>
      <c r="C1605" s="2"/>
      <c r="D1605" s="2"/>
      <c r="E1605" s="2"/>
      <c r="F1605" s="2"/>
      <c r="G1605" s="2"/>
      <c r="H1605" s="2"/>
      <c r="I1605" s="19"/>
    </row>
    <row r="1606" ht="15.75" customHeight="1">
      <c r="A1606" s="2"/>
      <c r="B1606" s="2"/>
      <c r="C1606" s="2"/>
      <c r="D1606" s="2"/>
      <c r="E1606" s="2"/>
      <c r="F1606" s="2"/>
      <c r="G1606" s="2"/>
      <c r="H1606" s="2"/>
      <c r="I1606" s="19"/>
    </row>
    <row r="1607" ht="15.75" customHeight="1">
      <c r="A1607" s="2"/>
      <c r="B1607" s="2"/>
      <c r="C1607" s="2"/>
      <c r="D1607" s="2"/>
      <c r="E1607" s="2"/>
      <c r="F1607" s="2"/>
      <c r="G1607" s="2"/>
      <c r="H1607" s="2"/>
      <c r="I1607" s="19"/>
    </row>
    <row r="1608" ht="15.75" customHeight="1">
      <c r="A1608" s="2"/>
      <c r="B1608" s="2"/>
      <c r="C1608" s="2"/>
      <c r="D1608" s="2"/>
      <c r="E1608" s="2"/>
      <c r="F1608" s="2"/>
      <c r="G1608" s="2"/>
      <c r="H1608" s="2"/>
      <c r="I1608" s="19"/>
    </row>
    <row r="1609" ht="15.75" customHeight="1">
      <c r="A1609" s="2"/>
      <c r="B1609" s="2"/>
      <c r="C1609" s="2"/>
      <c r="D1609" s="2"/>
      <c r="E1609" s="2"/>
      <c r="F1609" s="2"/>
      <c r="G1609" s="2"/>
      <c r="H1609" s="2"/>
      <c r="I1609" s="19"/>
    </row>
    <row r="1610" ht="15.75" customHeight="1">
      <c r="A1610" s="2"/>
      <c r="B1610" s="2"/>
      <c r="C1610" s="2"/>
      <c r="D1610" s="2"/>
      <c r="E1610" s="2"/>
      <c r="F1610" s="2"/>
      <c r="G1610" s="2"/>
      <c r="H1610" s="2"/>
      <c r="I1610" s="19"/>
    </row>
    <row r="1611" ht="15.75" customHeight="1">
      <c r="A1611" s="2"/>
      <c r="B1611" s="2"/>
      <c r="C1611" s="2"/>
      <c r="D1611" s="2"/>
      <c r="E1611" s="2"/>
      <c r="F1611" s="2"/>
      <c r="G1611" s="2"/>
      <c r="H1611" s="2"/>
      <c r="I1611" s="19"/>
    </row>
    <row r="1612" ht="15.75" customHeight="1">
      <c r="A1612" s="2"/>
      <c r="B1612" s="2"/>
      <c r="C1612" s="2"/>
      <c r="D1612" s="2"/>
      <c r="E1612" s="2"/>
      <c r="F1612" s="2"/>
      <c r="G1612" s="2"/>
      <c r="H1612" s="2"/>
      <c r="I1612" s="19"/>
    </row>
    <row r="1613" ht="15.75" customHeight="1">
      <c r="A1613" s="2"/>
      <c r="B1613" s="2"/>
      <c r="C1613" s="2"/>
      <c r="D1613" s="2"/>
      <c r="E1613" s="2"/>
      <c r="F1613" s="2"/>
      <c r="G1613" s="2"/>
      <c r="H1613" s="2"/>
      <c r="I1613" s="19"/>
    </row>
    <row r="1614" ht="15.75" customHeight="1">
      <c r="A1614" s="2"/>
      <c r="B1614" s="2"/>
      <c r="C1614" s="2"/>
      <c r="D1614" s="2"/>
      <c r="E1614" s="2"/>
      <c r="F1614" s="2"/>
      <c r="G1614" s="2"/>
      <c r="H1614" s="2"/>
      <c r="I1614" s="19"/>
    </row>
    <row r="1615" ht="15.75" customHeight="1">
      <c r="A1615" s="2"/>
      <c r="B1615" s="2"/>
      <c r="C1615" s="2"/>
      <c r="D1615" s="2"/>
      <c r="E1615" s="2"/>
      <c r="F1615" s="2"/>
      <c r="G1615" s="2"/>
      <c r="H1615" s="2"/>
      <c r="I1615" s="19"/>
    </row>
    <row r="1616" ht="15.75" customHeight="1">
      <c r="A1616" s="2"/>
      <c r="B1616" s="2"/>
      <c r="C1616" s="2"/>
      <c r="D1616" s="2"/>
      <c r="E1616" s="2"/>
      <c r="F1616" s="2"/>
      <c r="G1616" s="2"/>
      <c r="H1616" s="2"/>
      <c r="I1616" s="19"/>
    </row>
    <row r="1617" ht="15.75" customHeight="1">
      <c r="A1617" s="2"/>
      <c r="B1617" s="2"/>
      <c r="C1617" s="2"/>
      <c r="D1617" s="2"/>
      <c r="E1617" s="2"/>
      <c r="F1617" s="2"/>
      <c r="G1617" s="2"/>
      <c r="H1617" s="2"/>
      <c r="I1617" s="19"/>
    </row>
    <row r="1618" ht="15.75" customHeight="1">
      <c r="A1618" s="2"/>
      <c r="B1618" s="2"/>
      <c r="C1618" s="2"/>
      <c r="D1618" s="2"/>
      <c r="E1618" s="2"/>
      <c r="F1618" s="2"/>
      <c r="G1618" s="2"/>
      <c r="H1618" s="2"/>
      <c r="I1618" s="19"/>
    </row>
    <row r="1619" ht="15.75" customHeight="1">
      <c r="A1619" s="2"/>
      <c r="B1619" s="2"/>
      <c r="C1619" s="2"/>
      <c r="D1619" s="2"/>
      <c r="E1619" s="2"/>
      <c r="F1619" s="2"/>
      <c r="G1619" s="2"/>
      <c r="H1619" s="2"/>
      <c r="I1619" s="19"/>
    </row>
    <row r="1620" ht="15.75" customHeight="1">
      <c r="A1620" s="2"/>
      <c r="B1620" s="2"/>
      <c r="C1620" s="2"/>
      <c r="D1620" s="2"/>
      <c r="E1620" s="2"/>
      <c r="F1620" s="2"/>
      <c r="G1620" s="2"/>
      <c r="H1620" s="2"/>
      <c r="I1620" s="19"/>
    </row>
    <row r="1621" ht="15.75" customHeight="1">
      <c r="A1621" s="2"/>
      <c r="B1621" s="2"/>
      <c r="C1621" s="2"/>
      <c r="D1621" s="2"/>
      <c r="E1621" s="2"/>
      <c r="F1621" s="2"/>
      <c r="G1621" s="2"/>
      <c r="H1621" s="2"/>
      <c r="I1621" s="19"/>
    </row>
    <row r="1622" ht="15.75" customHeight="1">
      <c r="A1622" s="2"/>
      <c r="B1622" s="2"/>
      <c r="C1622" s="2"/>
      <c r="D1622" s="2"/>
      <c r="E1622" s="2"/>
      <c r="F1622" s="2"/>
      <c r="G1622" s="2"/>
      <c r="H1622" s="2"/>
      <c r="I1622" s="19"/>
    </row>
    <row r="1623" ht="15.75" customHeight="1">
      <c r="A1623" s="2"/>
      <c r="B1623" s="2"/>
      <c r="C1623" s="2"/>
      <c r="D1623" s="2"/>
      <c r="E1623" s="2"/>
      <c r="F1623" s="2"/>
      <c r="G1623" s="2"/>
      <c r="H1623" s="2"/>
      <c r="I1623" s="19"/>
    </row>
    <row r="1624" ht="15.75" customHeight="1">
      <c r="A1624" s="2"/>
      <c r="B1624" s="2"/>
      <c r="C1624" s="2"/>
      <c r="D1624" s="2"/>
      <c r="E1624" s="2"/>
      <c r="F1624" s="2"/>
      <c r="G1624" s="2"/>
      <c r="H1624" s="2"/>
      <c r="I1624" s="19"/>
    </row>
    <row r="1625" ht="15.75" customHeight="1">
      <c r="A1625" s="2"/>
      <c r="B1625" s="2"/>
      <c r="C1625" s="2"/>
      <c r="D1625" s="2"/>
      <c r="E1625" s="2"/>
      <c r="F1625" s="2"/>
      <c r="G1625" s="2"/>
      <c r="H1625" s="2"/>
      <c r="I1625" s="19"/>
    </row>
    <row r="1626" ht="15.75" customHeight="1">
      <c r="A1626" s="2"/>
      <c r="B1626" s="2"/>
      <c r="C1626" s="2"/>
      <c r="D1626" s="2"/>
      <c r="E1626" s="2"/>
      <c r="F1626" s="2"/>
      <c r="G1626" s="2"/>
      <c r="H1626" s="2"/>
      <c r="I1626" s="19"/>
    </row>
    <row r="1627" ht="15.75" customHeight="1">
      <c r="A1627" s="2"/>
      <c r="B1627" s="2"/>
      <c r="C1627" s="2"/>
      <c r="D1627" s="2"/>
      <c r="E1627" s="2"/>
      <c r="F1627" s="2"/>
      <c r="G1627" s="2"/>
      <c r="H1627" s="2"/>
      <c r="I1627" s="19"/>
    </row>
    <row r="1628" ht="15.75" customHeight="1">
      <c r="A1628" s="2"/>
      <c r="B1628" s="2"/>
      <c r="C1628" s="2"/>
      <c r="D1628" s="2"/>
      <c r="E1628" s="2"/>
      <c r="F1628" s="2"/>
      <c r="G1628" s="2"/>
      <c r="H1628" s="2"/>
      <c r="I1628" s="19"/>
    </row>
    <row r="1629" ht="15.75" customHeight="1">
      <c r="A1629" s="2"/>
      <c r="B1629" s="2"/>
      <c r="C1629" s="2"/>
      <c r="D1629" s="2"/>
      <c r="E1629" s="2"/>
      <c r="F1629" s="2"/>
      <c r="G1629" s="2"/>
      <c r="H1629" s="2"/>
      <c r="I1629" s="19"/>
    </row>
    <row r="1630" ht="15.75" customHeight="1">
      <c r="A1630" s="2"/>
      <c r="B1630" s="2"/>
      <c r="C1630" s="2"/>
      <c r="D1630" s="2"/>
      <c r="E1630" s="2"/>
      <c r="F1630" s="2"/>
      <c r="G1630" s="2"/>
      <c r="H1630" s="2"/>
      <c r="I1630" s="19"/>
    </row>
    <row r="1631" ht="15.75" customHeight="1">
      <c r="A1631" s="2"/>
      <c r="B1631" s="2"/>
      <c r="C1631" s="2"/>
      <c r="D1631" s="2"/>
      <c r="E1631" s="2"/>
      <c r="F1631" s="2"/>
      <c r="G1631" s="2"/>
      <c r="H1631" s="2"/>
      <c r="I1631" s="19"/>
    </row>
    <row r="1632" ht="15.75" customHeight="1">
      <c r="A1632" s="2"/>
      <c r="B1632" s="2"/>
      <c r="C1632" s="2"/>
      <c r="D1632" s="2"/>
      <c r="E1632" s="2"/>
      <c r="F1632" s="2"/>
      <c r="G1632" s="2"/>
      <c r="H1632" s="2"/>
      <c r="I1632" s="19"/>
    </row>
    <row r="1633" ht="15.75" customHeight="1">
      <c r="A1633" s="2"/>
      <c r="B1633" s="2"/>
      <c r="C1633" s="2"/>
      <c r="D1633" s="2"/>
      <c r="E1633" s="2"/>
      <c r="F1633" s="2"/>
      <c r="G1633" s="2"/>
      <c r="H1633" s="2"/>
      <c r="I1633" s="19"/>
    </row>
    <row r="1634" ht="15.75" customHeight="1">
      <c r="A1634" s="2"/>
      <c r="B1634" s="2"/>
      <c r="C1634" s="2"/>
      <c r="D1634" s="2"/>
      <c r="E1634" s="2"/>
      <c r="F1634" s="2"/>
      <c r="G1634" s="2"/>
      <c r="H1634" s="2"/>
      <c r="I1634" s="19"/>
    </row>
    <row r="1635" ht="15.75" customHeight="1">
      <c r="A1635" s="2"/>
      <c r="B1635" s="2"/>
      <c r="C1635" s="2"/>
      <c r="D1635" s="2"/>
      <c r="E1635" s="2"/>
      <c r="F1635" s="2"/>
      <c r="G1635" s="2"/>
      <c r="H1635" s="2"/>
      <c r="I1635" s="19"/>
    </row>
    <row r="1636" ht="15.75" customHeight="1">
      <c r="A1636" s="2"/>
      <c r="B1636" s="2"/>
      <c r="C1636" s="2"/>
      <c r="D1636" s="2"/>
      <c r="E1636" s="2"/>
      <c r="F1636" s="2"/>
      <c r="G1636" s="2"/>
      <c r="H1636" s="2"/>
      <c r="I1636" s="19"/>
    </row>
    <row r="1637" ht="15.75" customHeight="1">
      <c r="A1637" s="2"/>
      <c r="B1637" s="2"/>
      <c r="C1637" s="2"/>
      <c r="D1637" s="2"/>
      <c r="E1637" s="2"/>
      <c r="F1637" s="2"/>
      <c r="G1637" s="2"/>
      <c r="H1637" s="2"/>
      <c r="I1637" s="19"/>
    </row>
    <row r="1638" ht="15.75" customHeight="1">
      <c r="A1638" s="2"/>
      <c r="B1638" s="2"/>
      <c r="C1638" s="2"/>
      <c r="D1638" s="2"/>
      <c r="E1638" s="2"/>
      <c r="F1638" s="2"/>
      <c r="G1638" s="2"/>
      <c r="H1638" s="2"/>
      <c r="I1638" s="19"/>
    </row>
    <row r="1639" ht="15.75" customHeight="1">
      <c r="A1639" s="2"/>
      <c r="B1639" s="2"/>
      <c r="C1639" s="2"/>
      <c r="D1639" s="2"/>
      <c r="E1639" s="2"/>
      <c r="F1639" s="2"/>
      <c r="G1639" s="2"/>
      <c r="H1639" s="2"/>
      <c r="I1639" s="19"/>
    </row>
    <row r="1640" ht="15.75" customHeight="1">
      <c r="A1640" s="2"/>
      <c r="B1640" s="2"/>
      <c r="C1640" s="2"/>
      <c r="D1640" s="2"/>
      <c r="E1640" s="2"/>
      <c r="F1640" s="2"/>
      <c r="G1640" s="2"/>
      <c r="H1640" s="2"/>
      <c r="I1640" s="19"/>
    </row>
    <row r="1641" ht="15.75" customHeight="1">
      <c r="A1641" s="2"/>
      <c r="B1641" s="2"/>
      <c r="C1641" s="2"/>
      <c r="D1641" s="2"/>
      <c r="E1641" s="2"/>
      <c r="F1641" s="2"/>
      <c r="G1641" s="2"/>
      <c r="H1641" s="2"/>
      <c r="I1641" s="19"/>
    </row>
    <row r="1642" ht="15.75" customHeight="1">
      <c r="A1642" s="2"/>
      <c r="B1642" s="2"/>
      <c r="C1642" s="2"/>
      <c r="D1642" s="2"/>
      <c r="E1642" s="2"/>
      <c r="F1642" s="2"/>
      <c r="G1642" s="2"/>
      <c r="H1642" s="2"/>
      <c r="I1642" s="19"/>
    </row>
    <row r="1643" ht="15.75" customHeight="1">
      <c r="A1643" s="2"/>
      <c r="B1643" s="2"/>
      <c r="C1643" s="2"/>
      <c r="D1643" s="2"/>
      <c r="E1643" s="2"/>
      <c r="F1643" s="2"/>
      <c r="G1643" s="2"/>
      <c r="H1643" s="2"/>
      <c r="I1643" s="19"/>
    </row>
    <row r="1644" ht="15.75" customHeight="1">
      <c r="A1644" s="2"/>
      <c r="B1644" s="2"/>
      <c r="C1644" s="2"/>
      <c r="D1644" s="2"/>
      <c r="E1644" s="2"/>
      <c r="F1644" s="2"/>
      <c r="G1644" s="2"/>
      <c r="H1644" s="2"/>
      <c r="I1644" s="19"/>
    </row>
    <row r="1645" ht="15.75" customHeight="1">
      <c r="A1645" s="2"/>
      <c r="B1645" s="2"/>
      <c r="C1645" s="2"/>
      <c r="D1645" s="2"/>
      <c r="E1645" s="2"/>
      <c r="F1645" s="2"/>
      <c r="G1645" s="2"/>
      <c r="H1645" s="2"/>
      <c r="I1645" s="19"/>
    </row>
    <row r="1646" ht="15.75" customHeight="1">
      <c r="A1646" s="2"/>
      <c r="B1646" s="2"/>
      <c r="C1646" s="2"/>
      <c r="D1646" s="2"/>
      <c r="E1646" s="2"/>
      <c r="F1646" s="2"/>
      <c r="G1646" s="2"/>
      <c r="H1646" s="2"/>
      <c r="I1646" s="19"/>
    </row>
    <row r="1647" ht="15.75" customHeight="1">
      <c r="A1647" s="2"/>
      <c r="B1647" s="2"/>
      <c r="C1647" s="2"/>
      <c r="D1647" s="2"/>
      <c r="E1647" s="2"/>
      <c r="F1647" s="2"/>
      <c r="G1647" s="2"/>
      <c r="H1647" s="2"/>
      <c r="I1647" s="19"/>
    </row>
    <row r="1648" ht="15.75" customHeight="1">
      <c r="A1648" s="2"/>
      <c r="B1648" s="2"/>
      <c r="C1648" s="2"/>
      <c r="D1648" s="2"/>
      <c r="E1648" s="2"/>
      <c r="F1648" s="2"/>
      <c r="G1648" s="2"/>
      <c r="H1648" s="2"/>
      <c r="I1648" s="19"/>
    </row>
    <row r="1649" ht="15.75" customHeight="1">
      <c r="A1649" s="2"/>
      <c r="B1649" s="2"/>
      <c r="C1649" s="2"/>
      <c r="D1649" s="2"/>
      <c r="E1649" s="2"/>
      <c r="F1649" s="2"/>
      <c r="G1649" s="2"/>
      <c r="H1649" s="2"/>
      <c r="I1649" s="19"/>
    </row>
    <row r="1650" ht="15.75" customHeight="1">
      <c r="A1650" s="2"/>
      <c r="B1650" s="2"/>
      <c r="C1650" s="2"/>
      <c r="D1650" s="2"/>
      <c r="E1650" s="2"/>
      <c r="F1650" s="2"/>
      <c r="G1650" s="2"/>
      <c r="H1650" s="2"/>
      <c r="I1650" s="19"/>
    </row>
    <row r="1651" ht="15.75" customHeight="1">
      <c r="A1651" s="2"/>
      <c r="B1651" s="2"/>
      <c r="C1651" s="2"/>
      <c r="D1651" s="2"/>
      <c r="E1651" s="2"/>
      <c r="F1651" s="2"/>
      <c r="G1651" s="2"/>
      <c r="H1651" s="2"/>
      <c r="I1651" s="19"/>
    </row>
    <row r="1652" ht="15.75" customHeight="1">
      <c r="A1652" s="2"/>
      <c r="B1652" s="2"/>
      <c r="C1652" s="2"/>
      <c r="D1652" s="2"/>
      <c r="E1652" s="2"/>
      <c r="F1652" s="2"/>
      <c r="G1652" s="2"/>
      <c r="H1652" s="2"/>
      <c r="I1652" s="19"/>
    </row>
    <row r="1653" ht="15.75" customHeight="1">
      <c r="A1653" s="2"/>
      <c r="B1653" s="2"/>
      <c r="C1653" s="2"/>
      <c r="D1653" s="2"/>
      <c r="E1653" s="2"/>
      <c r="F1653" s="2"/>
      <c r="G1653" s="2"/>
      <c r="H1653" s="2"/>
      <c r="I1653" s="19"/>
    </row>
    <row r="1654" ht="15.75" customHeight="1">
      <c r="A1654" s="2"/>
      <c r="B1654" s="2"/>
      <c r="C1654" s="2"/>
      <c r="D1654" s="2"/>
      <c r="E1654" s="2"/>
      <c r="F1654" s="2"/>
      <c r="G1654" s="2"/>
      <c r="H1654" s="2"/>
      <c r="I1654" s="19"/>
    </row>
    <row r="1655" ht="15.75" customHeight="1">
      <c r="A1655" s="2"/>
      <c r="B1655" s="2"/>
      <c r="C1655" s="2"/>
      <c r="D1655" s="2"/>
      <c r="E1655" s="2"/>
      <c r="F1655" s="2"/>
      <c r="G1655" s="2"/>
      <c r="H1655" s="2"/>
      <c r="I1655" s="19"/>
    </row>
    <row r="1656" ht="15.75" customHeight="1">
      <c r="A1656" s="2"/>
      <c r="B1656" s="2"/>
      <c r="C1656" s="2"/>
      <c r="D1656" s="2"/>
      <c r="E1656" s="2"/>
      <c r="F1656" s="2"/>
      <c r="G1656" s="2"/>
      <c r="H1656" s="2"/>
      <c r="I1656" s="19"/>
    </row>
    <row r="1657" ht="15.75" customHeight="1">
      <c r="A1657" s="2"/>
      <c r="B1657" s="2"/>
      <c r="C1657" s="2"/>
      <c r="D1657" s="2"/>
      <c r="E1657" s="2"/>
      <c r="F1657" s="2"/>
      <c r="G1657" s="2"/>
      <c r="H1657" s="2"/>
      <c r="I1657" s="19"/>
    </row>
    <row r="1658" ht="15.75" customHeight="1">
      <c r="A1658" s="2"/>
      <c r="B1658" s="2"/>
      <c r="C1658" s="2"/>
      <c r="D1658" s="2"/>
      <c r="E1658" s="2"/>
      <c r="F1658" s="2"/>
      <c r="G1658" s="2"/>
      <c r="H1658" s="2"/>
      <c r="I1658" s="19"/>
    </row>
    <row r="1659" ht="15.75" customHeight="1">
      <c r="A1659" s="2"/>
      <c r="B1659" s="2"/>
      <c r="C1659" s="2"/>
      <c r="D1659" s="2"/>
      <c r="E1659" s="2"/>
      <c r="F1659" s="2"/>
      <c r="G1659" s="2"/>
      <c r="H1659" s="2"/>
      <c r="I1659" s="19"/>
    </row>
    <row r="1660" ht="15.75" customHeight="1">
      <c r="A1660" s="2"/>
      <c r="B1660" s="2"/>
      <c r="C1660" s="2"/>
      <c r="D1660" s="2"/>
      <c r="E1660" s="2"/>
      <c r="F1660" s="2"/>
      <c r="G1660" s="2"/>
      <c r="H1660" s="2"/>
      <c r="I1660" s="19"/>
    </row>
    <row r="1661" ht="15.75" customHeight="1">
      <c r="A1661" s="2"/>
      <c r="B1661" s="2"/>
      <c r="C1661" s="2"/>
      <c r="D1661" s="2"/>
      <c r="E1661" s="2"/>
      <c r="F1661" s="2"/>
      <c r="G1661" s="2"/>
      <c r="H1661" s="2"/>
      <c r="I1661" s="19"/>
    </row>
    <row r="1662" ht="15.75" customHeight="1">
      <c r="A1662" s="2"/>
      <c r="B1662" s="2"/>
      <c r="C1662" s="2"/>
      <c r="D1662" s="2"/>
      <c r="E1662" s="2"/>
      <c r="F1662" s="2"/>
      <c r="G1662" s="2"/>
      <c r="H1662" s="2"/>
      <c r="I1662" s="19"/>
    </row>
    <row r="1663" ht="15.75" customHeight="1">
      <c r="A1663" s="2"/>
      <c r="B1663" s="2"/>
      <c r="C1663" s="2"/>
      <c r="D1663" s="2"/>
      <c r="E1663" s="2"/>
      <c r="F1663" s="2"/>
      <c r="G1663" s="2"/>
      <c r="H1663" s="2"/>
      <c r="I1663" s="19"/>
    </row>
    <row r="1664" ht="15.75" customHeight="1">
      <c r="A1664" s="2"/>
      <c r="B1664" s="2"/>
      <c r="C1664" s="2"/>
      <c r="D1664" s="2"/>
      <c r="E1664" s="2"/>
      <c r="F1664" s="2"/>
      <c r="G1664" s="2"/>
      <c r="H1664" s="2"/>
      <c r="I1664" s="19"/>
    </row>
    <row r="1665" ht="15.75" customHeight="1">
      <c r="A1665" s="2"/>
      <c r="B1665" s="2"/>
      <c r="C1665" s="2"/>
      <c r="D1665" s="2"/>
      <c r="E1665" s="2"/>
      <c r="F1665" s="2"/>
      <c r="G1665" s="2"/>
      <c r="H1665" s="2"/>
      <c r="I1665" s="19"/>
    </row>
    <row r="1666" ht="15.75" customHeight="1">
      <c r="A1666" s="2"/>
      <c r="B1666" s="2"/>
      <c r="C1666" s="2"/>
      <c r="D1666" s="2"/>
      <c r="E1666" s="2"/>
      <c r="F1666" s="2"/>
      <c r="G1666" s="2"/>
      <c r="H1666" s="2"/>
      <c r="I1666" s="19"/>
    </row>
    <row r="1667" ht="15.75" customHeight="1">
      <c r="A1667" s="2"/>
      <c r="B1667" s="2"/>
      <c r="C1667" s="2"/>
      <c r="D1667" s="2"/>
      <c r="E1667" s="2"/>
      <c r="F1667" s="2"/>
      <c r="G1667" s="2"/>
      <c r="H1667" s="2"/>
      <c r="I1667" s="19"/>
    </row>
    <row r="1668" ht="15.75" customHeight="1">
      <c r="A1668" s="2"/>
      <c r="B1668" s="2"/>
      <c r="C1668" s="2"/>
      <c r="D1668" s="2"/>
      <c r="E1668" s="2"/>
      <c r="F1668" s="2"/>
      <c r="G1668" s="2"/>
      <c r="H1668" s="2"/>
      <c r="I1668" s="19"/>
    </row>
    <row r="1669" ht="15.75" customHeight="1">
      <c r="A1669" s="2"/>
      <c r="B1669" s="2"/>
      <c r="C1669" s="2"/>
      <c r="D1669" s="2"/>
      <c r="E1669" s="2"/>
      <c r="F1669" s="2"/>
      <c r="G1669" s="2"/>
      <c r="H1669" s="2"/>
      <c r="I1669" s="19"/>
    </row>
    <row r="1670" ht="15.75" customHeight="1">
      <c r="A1670" s="2"/>
      <c r="B1670" s="2"/>
      <c r="C1670" s="2"/>
      <c r="D1670" s="2"/>
      <c r="E1670" s="2"/>
      <c r="F1670" s="2"/>
      <c r="G1670" s="2"/>
      <c r="H1670" s="2"/>
      <c r="I1670" s="19"/>
    </row>
    <row r="1671" ht="15.75" customHeight="1">
      <c r="A1671" s="2"/>
      <c r="B1671" s="2"/>
      <c r="C1671" s="2"/>
      <c r="D1671" s="2"/>
      <c r="E1671" s="2"/>
      <c r="F1671" s="2"/>
      <c r="G1671" s="2"/>
      <c r="H1671" s="2"/>
      <c r="I1671" s="19"/>
    </row>
    <row r="1672" ht="15.75" customHeight="1">
      <c r="A1672" s="2"/>
      <c r="B1672" s="2"/>
      <c r="C1672" s="2"/>
      <c r="D1672" s="2"/>
      <c r="E1672" s="2"/>
      <c r="F1672" s="2"/>
      <c r="G1672" s="2"/>
      <c r="H1672" s="2"/>
      <c r="I1672" s="19"/>
    </row>
    <row r="1673" ht="15.75" customHeight="1">
      <c r="A1673" s="2"/>
      <c r="B1673" s="2"/>
      <c r="C1673" s="2"/>
      <c r="D1673" s="2"/>
      <c r="E1673" s="2"/>
      <c r="F1673" s="2"/>
      <c r="G1673" s="2"/>
      <c r="H1673" s="2"/>
      <c r="I1673" s="19"/>
    </row>
    <row r="1674" ht="15.75" customHeight="1">
      <c r="A1674" s="2"/>
      <c r="B1674" s="2"/>
      <c r="C1674" s="2"/>
      <c r="D1674" s="2"/>
      <c r="E1674" s="2"/>
      <c r="F1674" s="2"/>
      <c r="G1674" s="2"/>
      <c r="H1674" s="2"/>
      <c r="I1674" s="19"/>
    </row>
    <row r="1675" ht="15.75" customHeight="1">
      <c r="A1675" s="2"/>
      <c r="B1675" s="2"/>
      <c r="C1675" s="2"/>
      <c r="D1675" s="2"/>
      <c r="E1675" s="2"/>
      <c r="F1675" s="2"/>
      <c r="G1675" s="2"/>
      <c r="H1675" s="2"/>
      <c r="I1675" s="19"/>
    </row>
    <row r="1676" ht="15.75" customHeight="1">
      <c r="A1676" s="2"/>
      <c r="B1676" s="2"/>
      <c r="C1676" s="2"/>
      <c r="D1676" s="2"/>
      <c r="E1676" s="2"/>
      <c r="F1676" s="2"/>
      <c r="G1676" s="2"/>
      <c r="H1676" s="2"/>
      <c r="I1676" s="19"/>
    </row>
    <row r="1677" ht="15.75" customHeight="1">
      <c r="A1677" s="2"/>
      <c r="B1677" s="2"/>
      <c r="C1677" s="2"/>
      <c r="D1677" s="2"/>
      <c r="E1677" s="2"/>
      <c r="F1677" s="2"/>
      <c r="G1677" s="2"/>
      <c r="H1677" s="2"/>
      <c r="I1677" s="19"/>
    </row>
    <row r="1678" ht="15.75" customHeight="1">
      <c r="A1678" s="2"/>
      <c r="B1678" s="2"/>
      <c r="C1678" s="2"/>
      <c r="D1678" s="2"/>
      <c r="E1678" s="2"/>
      <c r="F1678" s="2"/>
      <c r="G1678" s="2"/>
      <c r="H1678" s="2"/>
      <c r="I1678" s="19"/>
    </row>
    <row r="1679" ht="15.75" customHeight="1">
      <c r="A1679" s="2"/>
      <c r="B1679" s="2"/>
      <c r="C1679" s="2"/>
      <c r="D1679" s="2"/>
      <c r="E1679" s="2"/>
      <c r="F1679" s="2"/>
      <c r="G1679" s="2"/>
      <c r="H1679" s="2"/>
      <c r="I1679" s="19"/>
    </row>
    <row r="1680" ht="15.75" customHeight="1">
      <c r="A1680" s="2"/>
      <c r="B1680" s="2"/>
      <c r="C1680" s="2"/>
      <c r="D1680" s="2"/>
      <c r="E1680" s="2"/>
      <c r="F1680" s="2"/>
      <c r="G1680" s="2"/>
      <c r="H1680" s="2"/>
      <c r="I1680" s="19"/>
    </row>
    <row r="1681" ht="15.75" customHeight="1">
      <c r="A1681" s="2"/>
      <c r="B1681" s="2"/>
      <c r="C1681" s="2"/>
      <c r="D1681" s="2"/>
      <c r="E1681" s="2"/>
      <c r="F1681" s="2"/>
      <c r="G1681" s="2"/>
      <c r="H1681" s="2"/>
      <c r="I1681" s="19"/>
    </row>
    <row r="1682" ht="15.75" customHeight="1">
      <c r="A1682" s="2"/>
      <c r="B1682" s="2"/>
      <c r="C1682" s="2"/>
      <c r="D1682" s="2"/>
      <c r="E1682" s="2"/>
      <c r="F1682" s="2"/>
      <c r="G1682" s="2"/>
      <c r="H1682" s="2"/>
      <c r="I1682" s="19"/>
    </row>
    <row r="1683" ht="15.75" customHeight="1">
      <c r="A1683" s="2"/>
      <c r="B1683" s="2"/>
      <c r="C1683" s="2"/>
      <c r="D1683" s="2"/>
      <c r="E1683" s="2"/>
      <c r="F1683" s="2"/>
      <c r="G1683" s="2"/>
      <c r="H1683" s="2"/>
      <c r="I1683" s="19"/>
    </row>
    <row r="1684" ht="15.75" customHeight="1">
      <c r="A1684" s="2"/>
      <c r="B1684" s="2"/>
      <c r="C1684" s="2"/>
      <c r="D1684" s="2"/>
      <c r="E1684" s="2"/>
      <c r="F1684" s="2"/>
      <c r="G1684" s="2"/>
      <c r="H1684" s="2"/>
      <c r="I1684" s="19"/>
    </row>
    <row r="1685" ht="15.75" customHeight="1">
      <c r="A1685" s="2"/>
      <c r="B1685" s="2"/>
      <c r="C1685" s="2"/>
      <c r="D1685" s="2"/>
      <c r="E1685" s="2"/>
      <c r="F1685" s="2"/>
      <c r="G1685" s="2"/>
      <c r="H1685" s="2"/>
      <c r="I1685" s="19"/>
    </row>
    <row r="1686" ht="15.75" customHeight="1">
      <c r="A1686" s="2"/>
      <c r="B1686" s="2"/>
      <c r="C1686" s="2"/>
      <c r="D1686" s="2"/>
      <c r="E1686" s="2"/>
      <c r="F1686" s="2"/>
      <c r="G1686" s="2"/>
      <c r="H1686" s="2"/>
      <c r="I1686" s="19"/>
    </row>
    <row r="1687" ht="15.75" customHeight="1">
      <c r="A1687" s="2"/>
      <c r="B1687" s="2"/>
      <c r="C1687" s="2"/>
      <c r="D1687" s="2"/>
      <c r="E1687" s="2"/>
      <c r="F1687" s="2"/>
      <c r="G1687" s="2"/>
      <c r="H1687" s="2"/>
      <c r="I1687" s="19"/>
    </row>
    <row r="1688" ht="15.75" customHeight="1">
      <c r="A1688" s="2"/>
      <c r="B1688" s="2"/>
      <c r="C1688" s="2"/>
      <c r="D1688" s="2"/>
      <c r="E1688" s="2"/>
      <c r="F1688" s="2"/>
      <c r="G1688" s="2"/>
      <c r="H1688" s="2"/>
      <c r="I1688" s="19"/>
    </row>
    <row r="1689" ht="15.75" customHeight="1">
      <c r="A1689" s="2"/>
      <c r="B1689" s="2"/>
      <c r="C1689" s="2"/>
      <c r="D1689" s="2"/>
      <c r="E1689" s="2"/>
      <c r="F1689" s="2"/>
      <c r="G1689" s="2"/>
      <c r="H1689" s="2"/>
      <c r="I1689" s="19"/>
    </row>
    <row r="1690" ht="15.75" customHeight="1">
      <c r="A1690" s="2"/>
      <c r="B1690" s="2"/>
      <c r="C1690" s="2"/>
      <c r="D1690" s="2"/>
      <c r="E1690" s="2"/>
      <c r="F1690" s="2"/>
      <c r="G1690" s="2"/>
      <c r="H1690" s="2"/>
      <c r="I1690" s="19"/>
    </row>
    <row r="1691" ht="15.75" customHeight="1">
      <c r="A1691" s="2"/>
      <c r="B1691" s="2"/>
      <c r="C1691" s="2"/>
      <c r="D1691" s="2"/>
      <c r="E1691" s="2"/>
      <c r="F1691" s="2"/>
      <c r="G1691" s="2"/>
      <c r="H1691" s="2"/>
      <c r="I1691" s="19"/>
    </row>
    <row r="1692" ht="15.75" customHeight="1">
      <c r="A1692" s="2"/>
      <c r="B1692" s="2"/>
      <c r="C1692" s="2"/>
      <c r="D1692" s="2"/>
      <c r="E1692" s="2"/>
      <c r="F1692" s="2"/>
      <c r="G1692" s="2"/>
      <c r="H1692" s="2"/>
      <c r="I1692" s="19"/>
    </row>
    <row r="1693" ht="15.75" customHeight="1">
      <c r="A1693" s="2"/>
      <c r="B1693" s="2"/>
      <c r="C1693" s="2"/>
      <c r="D1693" s="2"/>
      <c r="E1693" s="2"/>
      <c r="F1693" s="2"/>
      <c r="G1693" s="2"/>
      <c r="H1693" s="2"/>
      <c r="I1693" s="19"/>
    </row>
    <row r="1694" ht="15.75" customHeight="1">
      <c r="A1694" s="2"/>
      <c r="B1694" s="2"/>
      <c r="C1694" s="2"/>
      <c r="D1694" s="2"/>
      <c r="E1694" s="2"/>
      <c r="F1694" s="2"/>
      <c r="G1694" s="2"/>
      <c r="H1694" s="2"/>
      <c r="I1694" s="19"/>
    </row>
    <row r="1695" ht="15.75" customHeight="1">
      <c r="A1695" s="2"/>
      <c r="B1695" s="2"/>
      <c r="C1695" s="2"/>
      <c r="D1695" s="2"/>
      <c r="E1695" s="2"/>
      <c r="F1695" s="2"/>
      <c r="G1695" s="2"/>
      <c r="H1695" s="2"/>
      <c r="I1695" s="19"/>
    </row>
    <row r="1696" ht="15.75" customHeight="1">
      <c r="A1696" s="2"/>
      <c r="B1696" s="2"/>
      <c r="C1696" s="2"/>
      <c r="D1696" s="2"/>
      <c r="E1696" s="2"/>
      <c r="F1696" s="2"/>
      <c r="G1696" s="2"/>
      <c r="H1696" s="2"/>
      <c r="I1696" s="19"/>
    </row>
    <row r="1697" ht="15.75" customHeight="1">
      <c r="A1697" s="2"/>
      <c r="B1697" s="2"/>
      <c r="C1697" s="2"/>
      <c r="D1697" s="2"/>
      <c r="E1697" s="2"/>
      <c r="F1697" s="2"/>
      <c r="G1697" s="2"/>
      <c r="H1697" s="2"/>
      <c r="I1697" s="19"/>
    </row>
    <row r="1698" ht="15.75" customHeight="1">
      <c r="A1698" s="2"/>
      <c r="B1698" s="2"/>
      <c r="C1698" s="2"/>
      <c r="D1698" s="2"/>
      <c r="E1698" s="2"/>
      <c r="F1698" s="2"/>
      <c r="G1698" s="2"/>
      <c r="H1698" s="2"/>
      <c r="I1698" s="19"/>
    </row>
    <row r="1699" ht="15.75" customHeight="1">
      <c r="A1699" s="2"/>
      <c r="B1699" s="2"/>
      <c r="C1699" s="2"/>
      <c r="D1699" s="2"/>
      <c r="E1699" s="2"/>
      <c r="F1699" s="2"/>
      <c r="G1699" s="2"/>
      <c r="H1699" s="2"/>
      <c r="I1699" s="19"/>
    </row>
    <row r="1700" ht="15.75" customHeight="1">
      <c r="A1700" s="2"/>
      <c r="B1700" s="2"/>
      <c r="C1700" s="2"/>
      <c r="D1700" s="2"/>
      <c r="E1700" s="2"/>
      <c r="F1700" s="2"/>
      <c r="G1700" s="2"/>
      <c r="H1700" s="2"/>
      <c r="I1700" s="19"/>
    </row>
    <row r="1701" ht="15.75" customHeight="1">
      <c r="A1701" s="2"/>
      <c r="B1701" s="2"/>
      <c r="C1701" s="2"/>
      <c r="D1701" s="2"/>
      <c r="E1701" s="2"/>
      <c r="F1701" s="2"/>
      <c r="G1701" s="2"/>
      <c r="H1701" s="2"/>
      <c r="I1701" s="19"/>
    </row>
    <row r="1702" ht="15.75" customHeight="1">
      <c r="A1702" s="2"/>
      <c r="B1702" s="2"/>
      <c r="C1702" s="2"/>
      <c r="D1702" s="2"/>
      <c r="E1702" s="2"/>
      <c r="F1702" s="2"/>
      <c r="G1702" s="2"/>
      <c r="H1702" s="2"/>
      <c r="I1702" s="19"/>
    </row>
    <row r="1703" ht="15.75" customHeight="1">
      <c r="A1703" s="2"/>
      <c r="B1703" s="2"/>
      <c r="C1703" s="2"/>
      <c r="D1703" s="2"/>
      <c r="E1703" s="2"/>
      <c r="F1703" s="2"/>
      <c r="G1703" s="2"/>
      <c r="H1703" s="2"/>
      <c r="I1703" s="19"/>
    </row>
    <row r="1704" ht="15.75" customHeight="1">
      <c r="A1704" s="2"/>
      <c r="B1704" s="2"/>
      <c r="C1704" s="2"/>
      <c r="D1704" s="2"/>
      <c r="E1704" s="2"/>
      <c r="F1704" s="2"/>
      <c r="G1704" s="2"/>
      <c r="H1704" s="2"/>
      <c r="I1704" s="19"/>
    </row>
    <row r="1705" ht="15.75" customHeight="1">
      <c r="A1705" s="2"/>
      <c r="B1705" s="2"/>
      <c r="C1705" s="2"/>
      <c r="D1705" s="2"/>
      <c r="E1705" s="2"/>
      <c r="F1705" s="2"/>
      <c r="G1705" s="2"/>
      <c r="H1705" s="2"/>
      <c r="I1705" s="19"/>
    </row>
    <row r="1706" ht="15.75" customHeight="1">
      <c r="A1706" s="2"/>
      <c r="B1706" s="2"/>
      <c r="C1706" s="2"/>
      <c r="D1706" s="2"/>
      <c r="E1706" s="2"/>
      <c r="F1706" s="2"/>
      <c r="G1706" s="2"/>
      <c r="H1706" s="2"/>
      <c r="I1706" s="19"/>
    </row>
    <row r="1707" ht="15.75" customHeight="1">
      <c r="A1707" s="2"/>
      <c r="B1707" s="2"/>
      <c r="C1707" s="2"/>
      <c r="D1707" s="2"/>
      <c r="E1707" s="2"/>
      <c r="F1707" s="2"/>
      <c r="G1707" s="2"/>
      <c r="H1707" s="2"/>
      <c r="I1707" s="19"/>
    </row>
    <row r="1708" ht="15.75" customHeight="1">
      <c r="A1708" s="2"/>
      <c r="B1708" s="2"/>
      <c r="C1708" s="2"/>
      <c r="D1708" s="2"/>
      <c r="E1708" s="2"/>
      <c r="F1708" s="2"/>
      <c r="G1708" s="2"/>
      <c r="H1708" s="2"/>
      <c r="I1708" s="19"/>
    </row>
    <row r="1709" ht="15.75" customHeight="1">
      <c r="A1709" s="2"/>
      <c r="B1709" s="2"/>
      <c r="C1709" s="2"/>
      <c r="D1709" s="2"/>
      <c r="E1709" s="2"/>
      <c r="F1709" s="2"/>
      <c r="G1709" s="2"/>
      <c r="H1709" s="2"/>
      <c r="I1709" s="19"/>
    </row>
    <row r="1710" ht="15.75" customHeight="1">
      <c r="A1710" s="2"/>
      <c r="B1710" s="2"/>
      <c r="C1710" s="2"/>
      <c r="D1710" s="2"/>
      <c r="E1710" s="2"/>
      <c r="F1710" s="2"/>
      <c r="G1710" s="2"/>
      <c r="H1710" s="2"/>
      <c r="I1710" s="19"/>
    </row>
    <row r="1711" ht="15.75" customHeight="1">
      <c r="A1711" s="2"/>
      <c r="B1711" s="2"/>
      <c r="C1711" s="2"/>
      <c r="D1711" s="2"/>
      <c r="E1711" s="2"/>
      <c r="F1711" s="2"/>
      <c r="G1711" s="2"/>
      <c r="H1711" s="2"/>
      <c r="I1711" s="19"/>
    </row>
    <row r="1712" ht="15.75" customHeight="1">
      <c r="A1712" s="2"/>
      <c r="B1712" s="2"/>
      <c r="C1712" s="2"/>
      <c r="D1712" s="2"/>
      <c r="E1712" s="2"/>
      <c r="F1712" s="2"/>
      <c r="G1712" s="2"/>
      <c r="H1712" s="2"/>
      <c r="I1712" s="19"/>
    </row>
    <row r="1713" ht="15.75" customHeight="1">
      <c r="A1713" s="2"/>
      <c r="B1713" s="2"/>
      <c r="C1713" s="2"/>
      <c r="D1713" s="2"/>
      <c r="E1713" s="2"/>
      <c r="F1713" s="2"/>
      <c r="G1713" s="2"/>
      <c r="H1713" s="2"/>
      <c r="I1713" s="19"/>
    </row>
    <row r="1714" ht="15.75" customHeight="1">
      <c r="A1714" s="2"/>
      <c r="B1714" s="2"/>
      <c r="C1714" s="2"/>
      <c r="D1714" s="2"/>
      <c r="E1714" s="2"/>
      <c r="F1714" s="2"/>
      <c r="G1714" s="2"/>
      <c r="H1714" s="2"/>
      <c r="I1714" s="19"/>
    </row>
    <row r="1715" ht="15.75" customHeight="1">
      <c r="A1715" s="2"/>
      <c r="B1715" s="2"/>
      <c r="C1715" s="2"/>
      <c r="D1715" s="2"/>
      <c r="E1715" s="2"/>
      <c r="F1715" s="2"/>
      <c r="G1715" s="2"/>
      <c r="H1715" s="2"/>
      <c r="I1715" s="19"/>
    </row>
    <row r="1716" ht="15.75" customHeight="1">
      <c r="A1716" s="2"/>
      <c r="B1716" s="2"/>
      <c r="C1716" s="2"/>
      <c r="D1716" s="2"/>
      <c r="E1716" s="2"/>
      <c r="F1716" s="2"/>
      <c r="G1716" s="2"/>
      <c r="H1716" s="2"/>
      <c r="I1716" s="19"/>
    </row>
    <row r="1717" ht="15.75" customHeight="1">
      <c r="A1717" s="2"/>
      <c r="B1717" s="2"/>
      <c r="C1717" s="2"/>
      <c r="D1717" s="2"/>
      <c r="E1717" s="2"/>
      <c r="F1717" s="2"/>
      <c r="G1717" s="2"/>
      <c r="H1717" s="2"/>
      <c r="I1717" s="19"/>
    </row>
    <row r="1718" ht="15.75" customHeight="1">
      <c r="A1718" s="2"/>
      <c r="B1718" s="2"/>
      <c r="C1718" s="2"/>
      <c r="D1718" s="2"/>
      <c r="E1718" s="2"/>
      <c r="F1718" s="2"/>
      <c r="G1718" s="2"/>
      <c r="H1718" s="2"/>
      <c r="I1718" s="19"/>
    </row>
    <row r="1719" ht="15.75" customHeight="1">
      <c r="A1719" s="2"/>
      <c r="B1719" s="2"/>
      <c r="C1719" s="2"/>
      <c r="D1719" s="2"/>
      <c r="E1719" s="2"/>
      <c r="F1719" s="2"/>
      <c r="G1719" s="2"/>
      <c r="H1719" s="2"/>
      <c r="I1719" s="19"/>
    </row>
    <row r="1720" ht="15.75" customHeight="1">
      <c r="A1720" s="2"/>
      <c r="B1720" s="2"/>
      <c r="C1720" s="2"/>
      <c r="D1720" s="2"/>
      <c r="E1720" s="2"/>
      <c r="F1720" s="2"/>
      <c r="G1720" s="2"/>
      <c r="H1720" s="2"/>
      <c r="I1720" s="19"/>
    </row>
    <row r="1721" ht="15.75" customHeight="1">
      <c r="A1721" s="2"/>
      <c r="B1721" s="2"/>
      <c r="C1721" s="2"/>
      <c r="D1721" s="2"/>
      <c r="E1721" s="2"/>
      <c r="F1721" s="2"/>
      <c r="G1721" s="2"/>
      <c r="H1721" s="2"/>
      <c r="I1721" s="19"/>
    </row>
    <row r="1722" ht="15.75" customHeight="1">
      <c r="A1722" s="2"/>
      <c r="B1722" s="2"/>
      <c r="C1722" s="2"/>
      <c r="D1722" s="2"/>
      <c r="E1722" s="2"/>
      <c r="F1722" s="2"/>
      <c r="G1722" s="2"/>
      <c r="H1722" s="2"/>
      <c r="I1722" s="19"/>
    </row>
    <row r="1723" ht="15.75" customHeight="1">
      <c r="A1723" s="2"/>
      <c r="B1723" s="2"/>
      <c r="C1723" s="2"/>
      <c r="D1723" s="2"/>
      <c r="E1723" s="2"/>
      <c r="F1723" s="2"/>
      <c r="G1723" s="2"/>
      <c r="H1723" s="2"/>
      <c r="I1723" s="19"/>
    </row>
    <row r="1724" ht="15.75" customHeight="1">
      <c r="A1724" s="2"/>
      <c r="B1724" s="2"/>
      <c r="C1724" s="2"/>
      <c r="D1724" s="2"/>
      <c r="E1724" s="2"/>
      <c r="F1724" s="2"/>
      <c r="G1724" s="2"/>
      <c r="H1724" s="2"/>
      <c r="I1724" s="19"/>
    </row>
    <row r="1725" ht="15.75" customHeight="1">
      <c r="A1725" s="2"/>
      <c r="B1725" s="2"/>
      <c r="C1725" s="2"/>
      <c r="D1725" s="2"/>
      <c r="E1725" s="2"/>
      <c r="F1725" s="2"/>
      <c r="G1725" s="2"/>
      <c r="H1725" s="2"/>
      <c r="I1725" s="19"/>
    </row>
    <row r="1726" ht="15.75" customHeight="1">
      <c r="A1726" s="2"/>
      <c r="B1726" s="2"/>
      <c r="C1726" s="2"/>
      <c r="D1726" s="2"/>
      <c r="E1726" s="2"/>
      <c r="F1726" s="2"/>
      <c r="G1726" s="2"/>
      <c r="H1726" s="2"/>
      <c r="I1726" s="19"/>
    </row>
    <row r="1727" ht="15.75" customHeight="1">
      <c r="A1727" s="2"/>
      <c r="B1727" s="2"/>
      <c r="C1727" s="2"/>
      <c r="D1727" s="2"/>
      <c r="E1727" s="2"/>
      <c r="F1727" s="2"/>
      <c r="G1727" s="2"/>
      <c r="H1727" s="2"/>
      <c r="I1727" s="19"/>
    </row>
    <row r="1728" ht="15.75" customHeight="1">
      <c r="A1728" s="2"/>
      <c r="B1728" s="2"/>
      <c r="C1728" s="2"/>
      <c r="D1728" s="2"/>
      <c r="E1728" s="2"/>
      <c r="F1728" s="2"/>
      <c r="G1728" s="2"/>
      <c r="H1728" s="2"/>
      <c r="I1728" s="19"/>
    </row>
    <row r="1729" ht="15.75" customHeight="1">
      <c r="A1729" s="2"/>
      <c r="B1729" s="2"/>
      <c r="C1729" s="2"/>
      <c r="D1729" s="2"/>
      <c r="E1729" s="2"/>
      <c r="F1729" s="2"/>
      <c r="G1729" s="2"/>
      <c r="H1729" s="2"/>
      <c r="I1729" s="19"/>
    </row>
    <row r="1730" ht="15.75" customHeight="1">
      <c r="A1730" s="2"/>
      <c r="B1730" s="2"/>
      <c r="C1730" s="2"/>
      <c r="D1730" s="2"/>
      <c r="E1730" s="2"/>
      <c r="F1730" s="2"/>
      <c r="G1730" s="2"/>
      <c r="H1730" s="2"/>
      <c r="I1730" s="19"/>
    </row>
    <row r="1731" ht="15.75" customHeight="1">
      <c r="A1731" s="2"/>
      <c r="B1731" s="2"/>
      <c r="C1731" s="2"/>
      <c r="D1731" s="2"/>
      <c r="E1731" s="2"/>
      <c r="F1731" s="2"/>
      <c r="G1731" s="2"/>
      <c r="H1731" s="2"/>
      <c r="I1731" s="19"/>
    </row>
    <row r="1732" ht="15.75" customHeight="1">
      <c r="A1732" s="2"/>
      <c r="B1732" s="2"/>
      <c r="C1732" s="2"/>
      <c r="D1732" s="2"/>
      <c r="E1732" s="2"/>
      <c r="F1732" s="2"/>
      <c r="G1732" s="2"/>
      <c r="H1732" s="2"/>
      <c r="I1732" s="19"/>
    </row>
    <row r="1733" ht="15.75" customHeight="1">
      <c r="A1733" s="2"/>
      <c r="B1733" s="2"/>
      <c r="C1733" s="2"/>
      <c r="D1733" s="2"/>
      <c r="E1733" s="2"/>
      <c r="F1733" s="2"/>
      <c r="G1733" s="2"/>
      <c r="H1733" s="2"/>
      <c r="I1733" s="19"/>
    </row>
    <row r="1734" ht="15.75" customHeight="1">
      <c r="A1734" s="2"/>
      <c r="B1734" s="2"/>
      <c r="C1734" s="2"/>
      <c r="D1734" s="2"/>
      <c r="E1734" s="2"/>
      <c r="F1734" s="2"/>
      <c r="G1734" s="2"/>
      <c r="H1734" s="2"/>
      <c r="I1734" s="19"/>
    </row>
    <row r="1735" ht="15.75" customHeight="1">
      <c r="A1735" s="2"/>
      <c r="B1735" s="2"/>
      <c r="C1735" s="2"/>
      <c r="D1735" s="2"/>
      <c r="E1735" s="2"/>
      <c r="F1735" s="2"/>
      <c r="G1735" s="2"/>
      <c r="H1735" s="2"/>
      <c r="I1735" s="19"/>
    </row>
    <row r="1736" ht="15.75" customHeight="1">
      <c r="A1736" s="2"/>
      <c r="B1736" s="2"/>
      <c r="C1736" s="2"/>
      <c r="D1736" s="2"/>
      <c r="E1736" s="2"/>
      <c r="F1736" s="2"/>
      <c r="G1736" s="2"/>
      <c r="H1736" s="2"/>
      <c r="I1736" s="19"/>
    </row>
    <row r="1737" ht="15.75" customHeight="1">
      <c r="A1737" s="2"/>
      <c r="B1737" s="2"/>
      <c r="C1737" s="2"/>
      <c r="D1737" s="2"/>
      <c r="E1737" s="2"/>
      <c r="F1737" s="2"/>
      <c r="G1737" s="2"/>
      <c r="H1737" s="2"/>
      <c r="I1737" s="19"/>
    </row>
    <row r="1738" ht="15.75" customHeight="1">
      <c r="A1738" s="2"/>
      <c r="B1738" s="2"/>
      <c r="C1738" s="2"/>
      <c r="D1738" s="2"/>
      <c r="E1738" s="2"/>
      <c r="F1738" s="2"/>
      <c r="G1738" s="2"/>
      <c r="H1738" s="2"/>
      <c r="I1738" s="19"/>
    </row>
    <row r="1739" ht="15.75" customHeight="1">
      <c r="A1739" s="2"/>
      <c r="B1739" s="2"/>
      <c r="C1739" s="2"/>
      <c r="D1739" s="2"/>
      <c r="E1739" s="2"/>
      <c r="F1739" s="2"/>
      <c r="G1739" s="2"/>
      <c r="H1739" s="2"/>
      <c r="I1739" s="19"/>
    </row>
    <row r="1740" ht="15.75" customHeight="1">
      <c r="A1740" s="2"/>
      <c r="B1740" s="2"/>
      <c r="C1740" s="2"/>
      <c r="D1740" s="2"/>
      <c r="E1740" s="2"/>
      <c r="F1740" s="2"/>
      <c r="G1740" s="2"/>
      <c r="H1740" s="2"/>
      <c r="I1740" s="19"/>
    </row>
    <row r="1741" ht="15.75" customHeight="1">
      <c r="A1741" s="2"/>
      <c r="B1741" s="2"/>
      <c r="C1741" s="2"/>
      <c r="D1741" s="2"/>
      <c r="E1741" s="2"/>
      <c r="F1741" s="2"/>
      <c r="G1741" s="2"/>
      <c r="H1741" s="2"/>
      <c r="I1741" s="19"/>
    </row>
    <row r="1742" ht="15.75" customHeight="1">
      <c r="A1742" s="2"/>
      <c r="B1742" s="2"/>
      <c r="C1742" s="2"/>
      <c r="D1742" s="2"/>
      <c r="E1742" s="2"/>
      <c r="F1742" s="2"/>
      <c r="G1742" s="2"/>
      <c r="H1742" s="2"/>
      <c r="I1742" s="19"/>
    </row>
    <row r="1743" ht="15.75" customHeight="1">
      <c r="A1743" s="2"/>
      <c r="B1743" s="2"/>
      <c r="C1743" s="2"/>
      <c r="D1743" s="2"/>
      <c r="E1743" s="2"/>
      <c r="F1743" s="2"/>
      <c r="G1743" s="2"/>
      <c r="H1743" s="2"/>
      <c r="I1743" s="19"/>
    </row>
    <row r="1744" ht="15.75" customHeight="1">
      <c r="A1744" s="2"/>
      <c r="B1744" s="2"/>
      <c r="C1744" s="2"/>
      <c r="D1744" s="2"/>
      <c r="E1744" s="2"/>
      <c r="F1744" s="2"/>
      <c r="G1744" s="2"/>
      <c r="H1744" s="2"/>
      <c r="I1744" s="19"/>
    </row>
    <row r="1745" ht="15.75" customHeight="1">
      <c r="A1745" s="2"/>
      <c r="B1745" s="2"/>
      <c r="C1745" s="2"/>
      <c r="D1745" s="2"/>
      <c r="E1745" s="2"/>
      <c r="F1745" s="2"/>
      <c r="G1745" s="2"/>
      <c r="H1745" s="2"/>
      <c r="I1745" s="19"/>
    </row>
    <row r="1746" ht="15.75" customHeight="1">
      <c r="A1746" s="2"/>
      <c r="B1746" s="2"/>
      <c r="C1746" s="2"/>
      <c r="D1746" s="2"/>
      <c r="E1746" s="2"/>
      <c r="F1746" s="2"/>
      <c r="G1746" s="2"/>
      <c r="H1746" s="2"/>
      <c r="I1746" s="19"/>
    </row>
    <row r="1747" ht="15.75" customHeight="1">
      <c r="A1747" s="2"/>
      <c r="B1747" s="2"/>
      <c r="C1747" s="2"/>
      <c r="D1747" s="2"/>
      <c r="E1747" s="2"/>
      <c r="F1747" s="2"/>
      <c r="G1747" s="2"/>
      <c r="H1747" s="2"/>
      <c r="I1747" s="19"/>
    </row>
    <row r="1748" ht="15.75" customHeight="1">
      <c r="A1748" s="2"/>
      <c r="B1748" s="2"/>
      <c r="C1748" s="2"/>
      <c r="D1748" s="2"/>
      <c r="E1748" s="2"/>
      <c r="F1748" s="2"/>
      <c r="G1748" s="2"/>
      <c r="H1748" s="2"/>
      <c r="I1748" s="19"/>
    </row>
    <row r="1749" ht="15.75" customHeight="1">
      <c r="A1749" s="2"/>
      <c r="B1749" s="2"/>
      <c r="C1749" s="2"/>
      <c r="D1749" s="2"/>
      <c r="E1749" s="2"/>
      <c r="F1749" s="2"/>
      <c r="G1749" s="2"/>
      <c r="H1749" s="2"/>
      <c r="I1749" s="19"/>
    </row>
    <row r="1750" ht="15.75" customHeight="1">
      <c r="A1750" s="2"/>
      <c r="B1750" s="2"/>
      <c r="C1750" s="2"/>
      <c r="D1750" s="2"/>
      <c r="E1750" s="2"/>
      <c r="F1750" s="2"/>
      <c r="G1750" s="2"/>
      <c r="H1750" s="2"/>
      <c r="I1750" s="19"/>
    </row>
    <row r="1751" ht="15.75" customHeight="1">
      <c r="A1751" s="2"/>
      <c r="B1751" s="2"/>
      <c r="C1751" s="2"/>
      <c r="D1751" s="2"/>
      <c r="E1751" s="2"/>
      <c r="F1751" s="2"/>
      <c r="G1751" s="2"/>
      <c r="H1751" s="2"/>
      <c r="I1751" s="19"/>
    </row>
    <row r="1752" ht="15.75" customHeight="1">
      <c r="A1752" s="2"/>
      <c r="B1752" s="2"/>
      <c r="C1752" s="2"/>
      <c r="D1752" s="2"/>
      <c r="E1752" s="2"/>
      <c r="F1752" s="2"/>
      <c r="G1752" s="2"/>
      <c r="H1752" s="2"/>
      <c r="I1752" s="19"/>
    </row>
    <row r="1753" ht="15.75" customHeight="1">
      <c r="A1753" s="2"/>
      <c r="B1753" s="2"/>
      <c r="C1753" s="2"/>
      <c r="D1753" s="2"/>
      <c r="E1753" s="2"/>
      <c r="F1753" s="2"/>
      <c r="G1753" s="2"/>
      <c r="H1753" s="2"/>
      <c r="I1753" s="19"/>
    </row>
    <row r="1754" ht="15.75" customHeight="1">
      <c r="A1754" s="2"/>
      <c r="B1754" s="2"/>
      <c r="C1754" s="2"/>
      <c r="D1754" s="2"/>
      <c r="E1754" s="2"/>
      <c r="F1754" s="2"/>
      <c r="G1754" s="2"/>
      <c r="H1754" s="2"/>
      <c r="I1754" s="19"/>
    </row>
    <row r="1755" ht="15.75" customHeight="1">
      <c r="A1755" s="2"/>
      <c r="B1755" s="2"/>
      <c r="C1755" s="2"/>
      <c r="D1755" s="2"/>
      <c r="E1755" s="2"/>
      <c r="F1755" s="2"/>
      <c r="G1755" s="2"/>
      <c r="H1755" s="2"/>
      <c r="I1755" s="19"/>
    </row>
    <row r="1756" ht="15.75" customHeight="1">
      <c r="A1756" s="2"/>
      <c r="B1756" s="2"/>
      <c r="C1756" s="2"/>
      <c r="D1756" s="2"/>
      <c r="E1756" s="2"/>
      <c r="F1756" s="2"/>
      <c r="G1756" s="2"/>
      <c r="H1756" s="2"/>
      <c r="I1756" s="19"/>
    </row>
    <row r="1757" ht="15.75" customHeight="1">
      <c r="A1757" s="2"/>
      <c r="B1757" s="2"/>
      <c r="C1757" s="2"/>
      <c r="D1757" s="2"/>
      <c r="E1757" s="2"/>
      <c r="F1757" s="2"/>
      <c r="G1757" s="2"/>
      <c r="H1757" s="2"/>
      <c r="I1757" s="19"/>
    </row>
    <row r="1758" ht="15.75" customHeight="1">
      <c r="A1758" s="2"/>
      <c r="B1758" s="2"/>
      <c r="C1758" s="2"/>
      <c r="D1758" s="2"/>
      <c r="E1758" s="2"/>
      <c r="F1758" s="2"/>
      <c r="G1758" s="2"/>
      <c r="H1758" s="2"/>
      <c r="I1758" s="19"/>
    </row>
    <row r="1759" ht="15.75" customHeight="1">
      <c r="A1759" s="2"/>
      <c r="B1759" s="2"/>
      <c r="C1759" s="2"/>
      <c r="D1759" s="2"/>
      <c r="E1759" s="2"/>
      <c r="F1759" s="2"/>
      <c r="G1759" s="2"/>
      <c r="H1759" s="2"/>
      <c r="I1759" s="19"/>
    </row>
    <row r="1760" ht="15.75" customHeight="1">
      <c r="A1760" s="2"/>
      <c r="B1760" s="2"/>
      <c r="C1760" s="2"/>
      <c r="D1760" s="2"/>
      <c r="E1760" s="2"/>
      <c r="F1760" s="2"/>
      <c r="G1760" s="2"/>
      <c r="H1760" s="2"/>
      <c r="I1760" s="19"/>
    </row>
    <row r="1761" ht="15.75" customHeight="1">
      <c r="A1761" s="2"/>
      <c r="B1761" s="2"/>
      <c r="C1761" s="2"/>
      <c r="D1761" s="2"/>
      <c r="E1761" s="2"/>
      <c r="F1761" s="2"/>
      <c r="G1761" s="2"/>
      <c r="H1761" s="2"/>
      <c r="I1761" s="19"/>
    </row>
    <row r="1762" ht="15.75" customHeight="1">
      <c r="A1762" s="2"/>
      <c r="B1762" s="2"/>
      <c r="C1762" s="2"/>
      <c r="D1762" s="2"/>
      <c r="E1762" s="2"/>
      <c r="F1762" s="2"/>
      <c r="G1762" s="2"/>
      <c r="H1762" s="2"/>
      <c r="I1762" s="19"/>
    </row>
    <row r="1763" ht="15.75" customHeight="1">
      <c r="A1763" s="2"/>
      <c r="B1763" s="2"/>
      <c r="C1763" s="2"/>
      <c r="D1763" s="2"/>
      <c r="E1763" s="2"/>
      <c r="F1763" s="2"/>
      <c r="G1763" s="2"/>
      <c r="H1763" s="2"/>
      <c r="I1763" s="19"/>
    </row>
    <row r="1764" ht="15.75" customHeight="1">
      <c r="A1764" s="2"/>
      <c r="B1764" s="2"/>
      <c r="C1764" s="2"/>
      <c r="D1764" s="2"/>
      <c r="E1764" s="2"/>
      <c r="F1764" s="2"/>
      <c r="G1764" s="2"/>
      <c r="H1764" s="2"/>
      <c r="I1764" s="19"/>
    </row>
    <row r="1765" ht="15.75" customHeight="1">
      <c r="A1765" s="2"/>
      <c r="B1765" s="2"/>
      <c r="C1765" s="2"/>
      <c r="D1765" s="2"/>
      <c r="E1765" s="2"/>
      <c r="F1765" s="2"/>
      <c r="G1765" s="2"/>
      <c r="H1765" s="2"/>
      <c r="I1765" s="19"/>
    </row>
    <row r="1766" ht="15.75" customHeight="1">
      <c r="A1766" s="2"/>
      <c r="B1766" s="2"/>
      <c r="C1766" s="2"/>
      <c r="D1766" s="2"/>
      <c r="E1766" s="2"/>
      <c r="F1766" s="2"/>
      <c r="G1766" s="2"/>
      <c r="H1766" s="2"/>
      <c r="I1766" s="19"/>
    </row>
    <row r="1767" ht="15.75" customHeight="1">
      <c r="A1767" s="2"/>
      <c r="B1767" s="2"/>
      <c r="C1767" s="2"/>
      <c r="D1767" s="2"/>
      <c r="E1767" s="2"/>
      <c r="F1767" s="2"/>
      <c r="G1767" s="2"/>
      <c r="H1767" s="2"/>
      <c r="I1767" s="19"/>
    </row>
    <row r="1768" ht="15.75" customHeight="1">
      <c r="A1768" s="2"/>
      <c r="B1768" s="2"/>
      <c r="C1768" s="2"/>
      <c r="D1768" s="2"/>
      <c r="E1768" s="2"/>
      <c r="F1768" s="2"/>
      <c r="G1768" s="2"/>
      <c r="H1768" s="2"/>
      <c r="I1768" s="19"/>
    </row>
    <row r="1769" ht="15.75" customHeight="1">
      <c r="A1769" s="2"/>
      <c r="B1769" s="2"/>
      <c r="C1769" s="2"/>
      <c r="D1769" s="2"/>
      <c r="E1769" s="2"/>
      <c r="F1769" s="2"/>
      <c r="G1769" s="2"/>
      <c r="H1769" s="2"/>
      <c r="I1769" s="19"/>
    </row>
    <row r="1770" ht="15.75" customHeight="1">
      <c r="A1770" s="2"/>
      <c r="B1770" s="2"/>
      <c r="C1770" s="2"/>
      <c r="D1770" s="2"/>
      <c r="E1770" s="2"/>
      <c r="F1770" s="2"/>
      <c r="G1770" s="2"/>
      <c r="H1770" s="2"/>
      <c r="I1770" s="19"/>
    </row>
    <row r="1771" ht="15.75" customHeight="1">
      <c r="A1771" s="2"/>
      <c r="B1771" s="2"/>
      <c r="C1771" s="2"/>
      <c r="D1771" s="2"/>
      <c r="E1771" s="2"/>
      <c r="F1771" s="2"/>
      <c r="G1771" s="2"/>
      <c r="H1771" s="2"/>
      <c r="I1771" s="19"/>
    </row>
    <row r="1772" ht="15.75" customHeight="1">
      <c r="A1772" s="2"/>
      <c r="B1772" s="2"/>
      <c r="C1772" s="2"/>
      <c r="D1772" s="2"/>
      <c r="E1772" s="2"/>
      <c r="F1772" s="2"/>
      <c r="G1772" s="2"/>
      <c r="H1772" s="2"/>
      <c r="I1772" s="19"/>
    </row>
    <row r="1773" ht="15.75" customHeight="1">
      <c r="A1773" s="2"/>
      <c r="B1773" s="2"/>
      <c r="C1773" s="2"/>
      <c r="D1773" s="2"/>
      <c r="E1773" s="2"/>
      <c r="F1773" s="2"/>
      <c r="G1773" s="2"/>
      <c r="H1773" s="2"/>
      <c r="I1773" s="19"/>
    </row>
    <row r="1774" ht="15.75" customHeight="1">
      <c r="A1774" s="2"/>
      <c r="B1774" s="2"/>
      <c r="C1774" s="2"/>
      <c r="D1774" s="2"/>
      <c r="E1774" s="2"/>
      <c r="F1774" s="2"/>
      <c r="G1774" s="2"/>
      <c r="H1774" s="2"/>
      <c r="I1774" s="19"/>
    </row>
    <row r="1775" ht="15.75" customHeight="1">
      <c r="A1775" s="2"/>
      <c r="B1775" s="2"/>
      <c r="C1775" s="2"/>
      <c r="D1775" s="2"/>
      <c r="E1775" s="2"/>
      <c r="F1775" s="2"/>
      <c r="G1775" s="2"/>
      <c r="H1775" s="2"/>
      <c r="I1775" s="19"/>
    </row>
    <row r="1776" ht="15.75" customHeight="1">
      <c r="A1776" s="2"/>
      <c r="B1776" s="2"/>
      <c r="C1776" s="2"/>
      <c r="D1776" s="2"/>
      <c r="E1776" s="2"/>
      <c r="F1776" s="2"/>
      <c r="G1776" s="2"/>
      <c r="H1776" s="2"/>
      <c r="I1776" s="19"/>
    </row>
    <row r="1777" ht="15.75" customHeight="1">
      <c r="A1777" s="2"/>
      <c r="B1777" s="2"/>
      <c r="C1777" s="2"/>
      <c r="D1777" s="2"/>
      <c r="E1777" s="2"/>
      <c r="F1777" s="2"/>
      <c r="G1777" s="2"/>
      <c r="H1777" s="2"/>
      <c r="I1777" s="19"/>
    </row>
    <row r="1778" ht="15.75" customHeight="1">
      <c r="A1778" s="2"/>
      <c r="B1778" s="2"/>
      <c r="C1778" s="2"/>
      <c r="D1778" s="2"/>
      <c r="E1778" s="2"/>
      <c r="F1778" s="2"/>
      <c r="G1778" s="2"/>
      <c r="H1778" s="2"/>
      <c r="I1778" s="19"/>
    </row>
    <row r="1779" ht="15.75" customHeight="1">
      <c r="A1779" s="2"/>
      <c r="B1779" s="2"/>
      <c r="C1779" s="2"/>
      <c r="D1779" s="2"/>
      <c r="E1779" s="2"/>
      <c r="F1779" s="2"/>
      <c r="G1779" s="2"/>
      <c r="H1779" s="2"/>
      <c r="I1779" s="19"/>
    </row>
    <row r="1780" ht="15.75" customHeight="1">
      <c r="A1780" s="2"/>
      <c r="B1780" s="2"/>
      <c r="C1780" s="2"/>
      <c r="D1780" s="2"/>
      <c r="E1780" s="2"/>
      <c r="F1780" s="2"/>
      <c r="G1780" s="2"/>
      <c r="H1780" s="2"/>
      <c r="I1780" s="19"/>
    </row>
    <row r="1781" ht="15.75" customHeight="1">
      <c r="A1781" s="2"/>
      <c r="B1781" s="2"/>
      <c r="C1781" s="2"/>
      <c r="D1781" s="2"/>
      <c r="E1781" s="2"/>
      <c r="F1781" s="2"/>
      <c r="G1781" s="2"/>
      <c r="H1781" s="2"/>
      <c r="I1781" s="19"/>
    </row>
    <row r="1782" ht="15.75" customHeight="1">
      <c r="A1782" s="2"/>
      <c r="B1782" s="2"/>
      <c r="C1782" s="2"/>
      <c r="D1782" s="2"/>
      <c r="E1782" s="2"/>
      <c r="F1782" s="2"/>
      <c r="G1782" s="2"/>
      <c r="H1782" s="2"/>
      <c r="I1782" s="19"/>
    </row>
    <row r="1783" ht="15.75" customHeight="1">
      <c r="A1783" s="2"/>
      <c r="B1783" s="2"/>
      <c r="C1783" s="2"/>
      <c r="D1783" s="2"/>
      <c r="E1783" s="2"/>
      <c r="F1783" s="2"/>
      <c r="G1783" s="2"/>
      <c r="H1783" s="2"/>
      <c r="I1783" s="19"/>
    </row>
    <row r="1784" ht="15.75" customHeight="1">
      <c r="A1784" s="2"/>
      <c r="B1784" s="2"/>
      <c r="C1784" s="2"/>
      <c r="D1784" s="2"/>
      <c r="E1784" s="2"/>
      <c r="F1784" s="2"/>
      <c r="G1784" s="2"/>
      <c r="H1784" s="2"/>
      <c r="I1784" s="19"/>
    </row>
    <row r="1785" ht="15.75" customHeight="1">
      <c r="A1785" s="2"/>
      <c r="B1785" s="2"/>
      <c r="C1785" s="2"/>
      <c r="D1785" s="2"/>
      <c r="E1785" s="2"/>
      <c r="F1785" s="2"/>
      <c r="G1785" s="2"/>
      <c r="H1785" s="2"/>
      <c r="I1785" s="19"/>
    </row>
    <row r="1786" ht="15.75" customHeight="1">
      <c r="A1786" s="2"/>
      <c r="B1786" s="2"/>
      <c r="C1786" s="2"/>
      <c r="D1786" s="2"/>
      <c r="E1786" s="2"/>
      <c r="F1786" s="2"/>
      <c r="G1786" s="2"/>
      <c r="H1786" s="2"/>
      <c r="I1786" s="19"/>
    </row>
    <row r="1787" ht="15.75" customHeight="1">
      <c r="A1787" s="2"/>
      <c r="B1787" s="2"/>
      <c r="C1787" s="2"/>
      <c r="D1787" s="2"/>
      <c r="E1787" s="2"/>
      <c r="F1787" s="2"/>
      <c r="G1787" s="2"/>
      <c r="H1787" s="2"/>
      <c r="I1787" s="19"/>
    </row>
    <row r="1788" ht="15.75" customHeight="1">
      <c r="A1788" s="2"/>
      <c r="B1788" s="2"/>
      <c r="C1788" s="2"/>
      <c r="D1788" s="2"/>
      <c r="E1788" s="2"/>
      <c r="F1788" s="2"/>
      <c r="G1788" s="2"/>
      <c r="H1788" s="2"/>
      <c r="I1788" s="19"/>
    </row>
    <row r="1789" ht="15.75" customHeight="1">
      <c r="A1789" s="2"/>
      <c r="B1789" s="2"/>
      <c r="C1789" s="2"/>
      <c r="D1789" s="2"/>
      <c r="E1789" s="2"/>
      <c r="F1789" s="2"/>
      <c r="G1789" s="2"/>
      <c r="H1789" s="2"/>
      <c r="I1789" s="19"/>
    </row>
    <row r="1790" ht="15.75" customHeight="1">
      <c r="A1790" s="2"/>
      <c r="B1790" s="2"/>
      <c r="C1790" s="2"/>
      <c r="D1790" s="2"/>
      <c r="E1790" s="2"/>
      <c r="F1790" s="2"/>
      <c r="G1790" s="2"/>
      <c r="H1790" s="2"/>
      <c r="I1790" s="19"/>
    </row>
    <row r="1791" ht="15.75" customHeight="1">
      <c r="A1791" s="2"/>
      <c r="B1791" s="2"/>
      <c r="C1791" s="2"/>
      <c r="D1791" s="2"/>
      <c r="E1791" s="2"/>
      <c r="F1791" s="2"/>
      <c r="G1791" s="2"/>
      <c r="H1791" s="2"/>
      <c r="I1791" s="19"/>
    </row>
    <row r="1792" ht="15.75" customHeight="1">
      <c r="A1792" s="2"/>
      <c r="B1792" s="2"/>
      <c r="C1792" s="2"/>
      <c r="D1792" s="2"/>
      <c r="E1792" s="2"/>
      <c r="F1792" s="2"/>
      <c r="G1792" s="2"/>
      <c r="H1792" s="2"/>
      <c r="I1792" s="19"/>
    </row>
    <row r="1793" ht="15.75" customHeight="1">
      <c r="A1793" s="2"/>
      <c r="B1793" s="2"/>
      <c r="C1793" s="2"/>
      <c r="D1793" s="2"/>
      <c r="E1793" s="2"/>
      <c r="F1793" s="2"/>
      <c r="G1793" s="2"/>
      <c r="H1793" s="2"/>
      <c r="I1793" s="19"/>
    </row>
    <row r="1794" ht="15.75" customHeight="1">
      <c r="A1794" s="2"/>
      <c r="B1794" s="2"/>
      <c r="C1794" s="2"/>
      <c r="D1794" s="2"/>
      <c r="E1794" s="2"/>
      <c r="F1794" s="2"/>
      <c r="G1794" s="2"/>
      <c r="H1794" s="2"/>
      <c r="I1794" s="19"/>
    </row>
    <row r="1795" ht="15.75" customHeight="1">
      <c r="A1795" s="2"/>
      <c r="B1795" s="2"/>
      <c r="C1795" s="2"/>
      <c r="D1795" s="2"/>
      <c r="E1795" s="2"/>
      <c r="F1795" s="2"/>
      <c r="G1795" s="2"/>
      <c r="H1795" s="2"/>
      <c r="I1795" s="19"/>
    </row>
    <row r="1796" ht="15.75" customHeight="1">
      <c r="A1796" s="2"/>
      <c r="B1796" s="2"/>
      <c r="C1796" s="2"/>
      <c r="D1796" s="2"/>
      <c r="E1796" s="2"/>
      <c r="F1796" s="2"/>
      <c r="G1796" s="2"/>
      <c r="H1796" s="2"/>
      <c r="I1796" s="19"/>
    </row>
    <row r="1797" ht="15.75" customHeight="1">
      <c r="A1797" s="2"/>
      <c r="B1797" s="2"/>
      <c r="C1797" s="2"/>
      <c r="D1797" s="2"/>
      <c r="E1797" s="2"/>
      <c r="F1797" s="2"/>
      <c r="G1797" s="2"/>
      <c r="H1797" s="2"/>
      <c r="I1797" s="19"/>
    </row>
    <row r="1798" ht="15.75" customHeight="1">
      <c r="A1798" s="2"/>
      <c r="B1798" s="2"/>
      <c r="C1798" s="2"/>
      <c r="D1798" s="2"/>
      <c r="E1798" s="2"/>
      <c r="F1798" s="2"/>
      <c r="G1798" s="2"/>
      <c r="H1798" s="2"/>
      <c r="I1798" s="19"/>
    </row>
    <row r="1799" ht="15.75" customHeight="1">
      <c r="A1799" s="2"/>
      <c r="B1799" s="2"/>
      <c r="C1799" s="2"/>
      <c r="D1799" s="2"/>
      <c r="E1799" s="2"/>
      <c r="F1799" s="2"/>
      <c r="G1799" s="2"/>
      <c r="H1799" s="2"/>
      <c r="I1799" s="19"/>
    </row>
    <row r="1800" ht="15.75" customHeight="1">
      <c r="A1800" s="2"/>
      <c r="B1800" s="2"/>
      <c r="C1800" s="2"/>
      <c r="D1800" s="2"/>
      <c r="E1800" s="2"/>
      <c r="F1800" s="2"/>
      <c r="G1800" s="2"/>
      <c r="H1800" s="2"/>
      <c r="I1800" s="19"/>
    </row>
    <row r="1801" ht="15.75" customHeight="1">
      <c r="A1801" s="2"/>
      <c r="B1801" s="2"/>
      <c r="C1801" s="2"/>
      <c r="D1801" s="2"/>
      <c r="E1801" s="2"/>
      <c r="F1801" s="2"/>
      <c r="G1801" s="2"/>
      <c r="H1801" s="2"/>
      <c r="I1801" s="19"/>
    </row>
    <row r="1802" ht="15.75" customHeight="1">
      <c r="A1802" s="2"/>
      <c r="B1802" s="2"/>
      <c r="C1802" s="2"/>
      <c r="D1802" s="2"/>
      <c r="E1802" s="2"/>
      <c r="F1802" s="2"/>
      <c r="G1802" s="2"/>
      <c r="H1802" s="2"/>
      <c r="I1802" s="19"/>
    </row>
    <row r="1803" ht="15.75" customHeight="1">
      <c r="A1803" s="2"/>
      <c r="B1803" s="2"/>
      <c r="C1803" s="2"/>
      <c r="D1803" s="2"/>
      <c r="E1803" s="2"/>
      <c r="F1803" s="2"/>
      <c r="G1803" s="2"/>
      <c r="H1803" s="2"/>
      <c r="I1803" s="19"/>
    </row>
    <row r="1804" ht="15.75" customHeight="1">
      <c r="A1804" s="2"/>
      <c r="B1804" s="2"/>
      <c r="C1804" s="2"/>
      <c r="D1804" s="2"/>
      <c r="E1804" s="2"/>
      <c r="F1804" s="2"/>
      <c r="G1804" s="2"/>
      <c r="H1804" s="2"/>
      <c r="I1804" s="19"/>
    </row>
    <row r="1805" ht="15.75" customHeight="1">
      <c r="A1805" s="2"/>
      <c r="B1805" s="2"/>
      <c r="C1805" s="2"/>
      <c r="D1805" s="2"/>
      <c r="E1805" s="2"/>
      <c r="F1805" s="2"/>
      <c r="G1805" s="2"/>
      <c r="H1805" s="2"/>
      <c r="I1805" s="19"/>
    </row>
    <row r="1806" ht="15.75" customHeight="1">
      <c r="A1806" s="2"/>
      <c r="B1806" s="2"/>
      <c r="C1806" s="2"/>
      <c r="D1806" s="2"/>
      <c r="E1806" s="2"/>
      <c r="F1806" s="2"/>
      <c r="G1806" s="2"/>
      <c r="H1806" s="2"/>
      <c r="I1806" s="19"/>
    </row>
    <row r="1807" ht="15.75" customHeight="1">
      <c r="A1807" s="2"/>
      <c r="B1807" s="2"/>
      <c r="C1807" s="2"/>
      <c r="D1807" s="2"/>
      <c r="E1807" s="2"/>
      <c r="F1807" s="2"/>
      <c r="G1807" s="2"/>
      <c r="H1807" s="2"/>
      <c r="I1807" s="19"/>
    </row>
    <row r="1808" ht="15.75" customHeight="1">
      <c r="A1808" s="2"/>
      <c r="B1808" s="2"/>
      <c r="C1808" s="2"/>
      <c r="D1808" s="2"/>
      <c r="E1808" s="2"/>
      <c r="F1808" s="2"/>
      <c r="G1808" s="2"/>
      <c r="H1808" s="2"/>
      <c r="I1808" s="19"/>
    </row>
    <row r="1809" ht="15.75" customHeight="1">
      <c r="A1809" s="2"/>
      <c r="B1809" s="2"/>
      <c r="C1809" s="2"/>
      <c r="D1809" s="2"/>
      <c r="E1809" s="2"/>
      <c r="F1809" s="2"/>
      <c r="G1809" s="2"/>
      <c r="H1809" s="2"/>
      <c r="I1809" s="19"/>
    </row>
    <row r="1810" ht="15.75" customHeight="1">
      <c r="A1810" s="2"/>
      <c r="B1810" s="2"/>
      <c r="C1810" s="2"/>
      <c r="D1810" s="2"/>
      <c r="E1810" s="2"/>
      <c r="F1810" s="2"/>
      <c r="G1810" s="2"/>
      <c r="H1810" s="2"/>
      <c r="I1810" s="19"/>
    </row>
    <row r="1811" ht="15.75" customHeight="1">
      <c r="A1811" s="2"/>
      <c r="B1811" s="2"/>
      <c r="C1811" s="2"/>
      <c r="D1811" s="2"/>
      <c r="E1811" s="2"/>
      <c r="F1811" s="2"/>
      <c r="G1811" s="2"/>
      <c r="H1811" s="2"/>
      <c r="I1811" s="19"/>
    </row>
    <row r="1812" ht="15.75" customHeight="1">
      <c r="A1812" s="2"/>
      <c r="B1812" s="2"/>
      <c r="C1812" s="2"/>
      <c r="D1812" s="2"/>
      <c r="E1812" s="2"/>
      <c r="F1812" s="2"/>
      <c r="G1812" s="2"/>
      <c r="H1812" s="2"/>
      <c r="I1812" s="19"/>
    </row>
    <row r="1813" ht="15.75" customHeight="1">
      <c r="A1813" s="2"/>
      <c r="B1813" s="2"/>
      <c r="C1813" s="2"/>
      <c r="D1813" s="2"/>
      <c r="E1813" s="2"/>
      <c r="F1813" s="2"/>
      <c r="G1813" s="2"/>
      <c r="H1813" s="2"/>
      <c r="I1813" s="19"/>
    </row>
    <row r="1814" ht="15.75" customHeight="1">
      <c r="A1814" s="2"/>
      <c r="B1814" s="2"/>
      <c r="C1814" s="2"/>
      <c r="D1814" s="2"/>
      <c r="E1814" s="2"/>
      <c r="F1814" s="2"/>
      <c r="G1814" s="2"/>
      <c r="H1814" s="2"/>
      <c r="I1814" s="19"/>
    </row>
    <row r="1815" ht="15.75" customHeight="1">
      <c r="A1815" s="2"/>
      <c r="B1815" s="2"/>
      <c r="C1815" s="2"/>
      <c r="D1815" s="2"/>
      <c r="E1815" s="2"/>
      <c r="F1815" s="2"/>
      <c r="G1815" s="2"/>
      <c r="H1815" s="2"/>
      <c r="I1815" s="19"/>
    </row>
    <row r="1816" ht="15.75" customHeight="1">
      <c r="A1816" s="2"/>
      <c r="B1816" s="2"/>
      <c r="C1816" s="2"/>
      <c r="D1816" s="2"/>
      <c r="E1816" s="2"/>
      <c r="F1816" s="2"/>
      <c r="G1816" s="2"/>
      <c r="H1816" s="2"/>
      <c r="I1816" s="19"/>
    </row>
    <row r="1817" ht="15.75" customHeight="1">
      <c r="A1817" s="2"/>
      <c r="B1817" s="2"/>
      <c r="C1817" s="2"/>
      <c r="D1817" s="2"/>
      <c r="E1817" s="2"/>
      <c r="F1817" s="2"/>
      <c r="G1817" s="2"/>
      <c r="H1817" s="2"/>
      <c r="I1817" s="19"/>
    </row>
    <row r="1818" ht="15.75" customHeight="1">
      <c r="A1818" s="2"/>
      <c r="B1818" s="2"/>
      <c r="C1818" s="2"/>
      <c r="D1818" s="2"/>
      <c r="E1818" s="2"/>
      <c r="F1818" s="2"/>
      <c r="G1818" s="2"/>
      <c r="H1818" s="2"/>
      <c r="I1818" s="19"/>
    </row>
    <row r="1819" ht="15.75" customHeight="1">
      <c r="A1819" s="2"/>
      <c r="B1819" s="2"/>
      <c r="C1819" s="2"/>
      <c r="D1819" s="2"/>
      <c r="E1819" s="2"/>
      <c r="F1819" s="2"/>
      <c r="G1819" s="2"/>
      <c r="H1819" s="2"/>
      <c r="I1819" s="19"/>
    </row>
    <row r="1820" ht="15.75" customHeight="1">
      <c r="A1820" s="2"/>
      <c r="B1820" s="2"/>
      <c r="C1820" s="2"/>
      <c r="D1820" s="2"/>
      <c r="E1820" s="2"/>
      <c r="F1820" s="2"/>
      <c r="G1820" s="2"/>
      <c r="H1820" s="2"/>
      <c r="I1820" s="19"/>
    </row>
    <row r="1821" ht="15.75" customHeight="1">
      <c r="A1821" s="2"/>
      <c r="B1821" s="2"/>
      <c r="C1821" s="2"/>
      <c r="D1821" s="2"/>
      <c r="E1821" s="2"/>
      <c r="F1821" s="2"/>
      <c r="G1821" s="2"/>
      <c r="H1821" s="2"/>
      <c r="I1821" s="19"/>
    </row>
    <row r="1822" ht="15.75" customHeight="1">
      <c r="A1822" s="2"/>
      <c r="B1822" s="2"/>
      <c r="C1822" s="2"/>
      <c r="D1822" s="2"/>
      <c r="E1822" s="2"/>
      <c r="F1822" s="2"/>
      <c r="G1822" s="2"/>
      <c r="H1822" s="2"/>
      <c r="I1822" s="19"/>
    </row>
    <row r="1823" ht="15.75" customHeight="1">
      <c r="A1823" s="2"/>
      <c r="B1823" s="2"/>
      <c r="C1823" s="2"/>
      <c r="D1823" s="2"/>
      <c r="E1823" s="2"/>
      <c r="F1823" s="2"/>
      <c r="G1823" s="2"/>
      <c r="H1823" s="2"/>
      <c r="I1823" s="19"/>
    </row>
    <row r="1824" ht="15.75" customHeight="1">
      <c r="A1824" s="2"/>
      <c r="B1824" s="2"/>
      <c r="C1824" s="2"/>
      <c r="D1824" s="2"/>
      <c r="E1824" s="2"/>
      <c r="F1824" s="2"/>
      <c r="G1824" s="2"/>
      <c r="H1824" s="2"/>
      <c r="I1824" s="19"/>
    </row>
    <row r="1825" ht="15.75" customHeight="1">
      <c r="A1825" s="2"/>
      <c r="B1825" s="2"/>
      <c r="C1825" s="2"/>
      <c r="D1825" s="2"/>
      <c r="E1825" s="2"/>
      <c r="F1825" s="2"/>
      <c r="G1825" s="2"/>
      <c r="H1825" s="2"/>
      <c r="I1825" s="19"/>
    </row>
    <row r="1826" ht="15.75" customHeight="1">
      <c r="A1826" s="2"/>
      <c r="B1826" s="2"/>
      <c r="C1826" s="2"/>
      <c r="D1826" s="2"/>
      <c r="E1826" s="2"/>
      <c r="F1826" s="2"/>
      <c r="G1826" s="2"/>
      <c r="H1826" s="2"/>
      <c r="I1826" s="19"/>
    </row>
    <row r="1827" ht="15.75" customHeight="1">
      <c r="A1827" s="2"/>
      <c r="B1827" s="2"/>
      <c r="C1827" s="2"/>
      <c r="D1827" s="2"/>
      <c r="E1827" s="2"/>
      <c r="F1827" s="2"/>
      <c r="G1827" s="2"/>
      <c r="H1827" s="2"/>
      <c r="I1827" s="19"/>
    </row>
    <row r="1828" ht="15.75" customHeight="1">
      <c r="A1828" s="2"/>
      <c r="B1828" s="2"/>
      <c r="C1828" s="2"/>
      <c r="D1828" s="2"/>
      <c r="E1828" s="2"/>
      <c r="F1828" s="2"/>
      <c r="G1828" s="2"/>
      <c r="H1828" s="2"/>
      <c r="I1828" s="19"/>
    </row>
    <row r="1829" ht="15.75" customHeight="1">
      <c r="A1829" s="2"/>
      <c r="B1829" s="2"/>
      <c r="C1829" s="2"/>
      <c r="D1829" s="2"/>
      <c r="E1829" s="2"/>
      <c r="F1829" s="2"/>
      <c r="G1829" s="2"/>
      <c r="H1829" s="2"/>
      <c r="I1829" s="19"/>
    </row>
    <row r="1830" ht="15.75" customHeight="1">
      <c r="A1830" s="2"/>
      <c r="B1830" s="2"/>
      <c r="C1830" s="2"/>
      <c r="D1830" s="2"/>
      <c r="E1830" s="2"/>
      <c r="F1830" s="2"/>
      <c r="G1830" s="2"/>
      <c r="H1830" s="2"/>
      <c r="I1830" s="19"/>
    </row>
    <row r="1831" ht="15.75" customHeight="1">
      <c r="A1831" s="2"/>
      <c r="B1831" s="2"/>
      <c r="C1831" s="2"/>
      <c r="D1831" s="2"/>
      <c r="E1831" s="2"/>
      <c r="F1831" s="2"/>
      <c r="G1831" s="2"/>
      <c r="H1831" s="2"/>
      <c r="I1831" s="19"/>
    </row>
    <row r="1832" ht="15.75" customHeight="1">
      <c r="A1832" s="2"/>
      <c r="B1832" s="2"/>
      <c r="C1832" s="2"/>
      <c r="D1832" s="2"/>
      <c r="E1832" s="2"/>
      <c r="F1832" s="2"/>
      <c r="G1832" s="2"/>
      <c r="H1832" s="2"/>
      <c r="I1832" s="19"/>
    </row>
    <row r="1833" ht="15.75" customHeight="1">
      <c r="A1833" s="2"/>
      <c r="B1833" s="2"/>
      <c r="C1833" s="2"/>
      <c r="D1833" s="2"/>
      <c r="E1833" s="2"/>
      <c r="F1833" s="2"/>
      <c r="G1833" s="2"/>
      <c r="H1833" s="2"/>
      <c r="I1833" s="19"/>
    </row>
    <row r="1834" ht="15.75" customHeight="1">
      <c r="A1834" s="2"/>
      <c r="B1834" s="2"/>
      <c r="C1834" s="2"/>
      <c r="D1834" s="2"/>
      <c r="E1834" s="2"/>
      <c r="F1834" s="2"/>
      <c r="G1834" s="2"/>
      <c r="H1834" s="2"/>
      <c r="I1834" s="19"/>
    </row>
    <row r="1835" ht="15.75" customHeight="1">
      <c r="A1835" s="2"/>
      <c r="B1835" s="2"/>
      <c r="C1835" s="2"/>
      <c r="D1835" s="2"/>
      <c r="E1835" s="2"/>
      <c r="F1835" s="2"/>
      <c r="G1835" s="2"/>
      <c r="H1835" s="2"/>
      <c r="I1835" s="19"/>
    </row>
    <row r="1836" ht="15.75" customHeight="1">
      <c r="A1836" s="2"/>
      <c r="B1836" s="2"/>
      <c r="C1836" s="2"/>
      <c r="D1836" s="2"/>
      <c r="E1836" s="2"/>
      <c r="F1836" s="2"/>
      <c r="G1836" s="2"/>
      <c r="H1836" s="2"/>
      <c r="I1836" s="19"/>
    </row>
    <row r="1837" ht="15.75" customHeight="1">
      <c r="A1837" s="2"/>
      <c r="B1837" s="2"/>
      <c r="C1837" s="2"/>
      <c r="D1837" s="2"/>
      <c r="E1837" s="2"/>
      <c r="F1837" s="2"/>
      <c r="G1837" s="2"/>
      <c r="H1837" s="2"/>
      <c r="I1837" s="19"/>
    </row>
    <row r="1838" ht="15.75" customHeight="1">
      <c r="A1838" s="2"/>
      <c r="B1838" s="2"/>
      <c r="C1838" s="2"/>
      <c r="D1838" s="2"/>
      <c r="E1838" s="2"/>
      <c r="F1838" s="2"/>
      <c r="G1838" s="2"/>
      <c r="H1838" s="2"/>
      <c r="I1838" s="19"/>
    </row>
    <row r="1839" ht="15.75" customHeight="1">
      <c r="A1839" s="2"/>
      <c r="B1839" s="2"/>
      <c r="C1839" s="2"/>
      <c r="D1839" s="2"/>
      <c r="E1839" s="2"/>
      <c r="F1839" s="2"/>
      <c r="G1839" s="2"/>
      <c r="H1839" s="2"/>
      <c r="I1839" s="19"/>
    </row>
    <row r="1840" ht="15.75" customHeight="1">
      <c r="A1840" s="2"/>
      <c r="B1840" s="2"/>
      <c r="C1840" s="2"/>
      <c r="D1840" s="2"/>
      <c r="E1840" s="2"/>
      <c r="F1840" s="2"/>
      <c r="G1840" s="2"/>
      <c r="H1840" s="2"/>
      <c r="I1840" s="19"/>
    </row>
    <row r="1841" ht="15.75" customHeight="1">
      <c r="A1841" s="2"/>
      <c r="B1841" s="2"/>
      <c r="C1841" s="2"/>
      <c r="D1841" s="2"/>
      <c r="E1841" s="2"/>
      <c r="F1841" s="2"/>
      <c r="G1841" s="2"/>
      <c r="H1841" s="2"/>
      <c r="I1841" s="19"/>
    </row>
    <row r="1842" ht="15.75" customHeight="1">
      <c r="A1842" s="2"/>
      <c r="B1842" s="2"/>
      <c r="C1842" s="2"/>
      <c r="D1842" s="2"/>
      <c r="E1842" s="2"/>
      <c r="F1842" s="2"/>
      <c r="G1842" s="2"/>
      <c r="H1842" s="2"/>
      <c r="I1842" s="19"/>
    </row>
    <row r="1843" ht="15.75" customHeight="1">
      <c r="A1843" s="2"/>
      <c r="B1843" s="2"/>
      <c r="C1843" s="2"/>
      <c r="D1843" s="2"/>
      <c r="E1843" s="2"/>
      <c r="F1843" s="2"/>
      <c r="G1843" s="2"/>
      <c r="H1843" s="2"/>
      <c r="I1843" s="19"/>
    </row>
    <row r="1844" ht="15.75" customHeight="1">
      <c r="A1844" s="2"/>
      <c r="B1844" s="2"/>
      <c r="C1844" s="2"/>
      <c r="D1844" s="2"/>
      <c r="E1844" s="2"/>
      <c r="F1844" s="2"/>
      <c r="G1844" s="2"/>
      <c r="H1844" s="2"/>
      <c r="I1844" s="19"/>
    </row>
    <row r="1845" ht="15.75" customHeight="1">
      <c r="A1845" s="2"/>
      <c r="B1845" s="2"/>
      <c r="C1845" s="2"/>
      <c r="D1845" s="2"/>
      <c r="E1845" s="2"/>
      <c r="F1845" s="2"/>
      <c r="G1845" s="2"/>
      <c r="H1845" s="2"/>
      <c r="I1845" s="19"/>
    </row>
    <row r="1846" ht="15.75" customHeight="1">
      <c r="A1846" s="2"/>
      <c r="B1846" s="2"/>
      <c r="C1846" s="2"/>
      <c r="D1846" s="2"/>
      <c r="E1846" s="2"/>
      <c r="F1846" s="2"/>
      <c r="G1846" s="2"/>
      <c r="H1846" s="2"/>
      <c r="I1846" s="19"/>
    </row>
    <row r="1847" ht="15.75" customHeight="1">
      <c r="A1847" s="2"/>
      <c r="B1847" s="2"/>
      <c r="C1847" s="2"/>
      <c r="D1847" s="2"/>
      <c r="E1847" s="2"/>
      <c r="F1847" s="2"/>
      <c r="G1847" s="2"/>
      <c r="H1847" s="2"/>
      <c r="I1847" s="19"/>
    </row>
    <row r="1848" ht="15.75" customHeight="1">
      <c r="A1848" s="2"/>
      <c r="B1848" s="2"/>
      <c r="C1848" s="2"/>
      <c r="D1848" s="2"/>
      <c r="E1848" s="2"/>
      <c r="F1848" s="2"/>
      <c r="G1848" s="2"/>
      <c r="H1848" s="2"/>
      <c r="I1848" s="19"/>
    </row>
    <row r="1849" ht="15.75" customHeight="1">
      <c r="A1849" s="2"/>
      <c r="B1849" s="2"/>
      <c r="C1849" s="2"/>
      <c r="D1849" s="2"/>
      <c r="E1849" s="2"/>
      <c r="F1849" s="2"/>
      <c r="G1849" s="2"/>
      <c r="H1849" s="2"/>
      <c r="I1849" s="19"/>
    </row>
    <row r="1850" ht="15.75" customHeight="1">
      <c r="A1850" s="2"/>
      <c r="B1850" s="2"/>
      <c r="C1850" s="2"/>
      <c r="D1850" s="2"/>
      <c r="E1850" s="2"/>
      <c r="F1850" s="2"/>
      <c r="G1850" s="2"/>
      <c r="H1850" s="2"/>
      <c r="I1850" s="19"/>
    </row>
    <row r="1851" ht="15.75" customHeight="1">
      <c r="A1851" s="2"/>
      <c r="B1851" s="2"/>
      <c r="C1851" s="2"/>
      <c r="D1851" s="2"/>
      <c r="E1851" s="2"/>
      <c r="F1851" s="2"/>
      <c r="G1851" s="2"/>
      <c r="H1851" s="2"/>
      <c r="I1851" s="19"/>
    </row>
    <row r="1852" ht="15.75" customHeight="1">
      <c r="A1852" s="2"/>
      <c r="B1852" s="2"/>
      <c r="C1852" s="2"/>
      <c r="D1852" s="2"/>
      <c r="E1852" s="2"/>
      <c r="F1852" s="2"/>
      <c r="G1852" s="2"/>
      <c r="H1852" s="2"/>
      <c r="I1852" s="19"/>
    </row>
    <row r="1853" ht="15.75" customHeight="1">
      <c r="A1853" s="2"/>
      <c r="B1853" s="2"/>
      <c r="C1853" s="2"/>
      <c r="D1853" s="2"/>
      <c r="E1853" s="2"/>
      <c r="F1853" s="2"/>
      <c r="G1853" s="2"/>
      <c r="H1853" s="2"/>
      <c r="I1853" s="19"/>
    </row>
    <row r="1854" ht="15.75" customHeight="1">
      <c r="A1854" s="2"/>
      <c r="B1854" s="2"/>
      <c r="C1854" s="2"/>
      <c r="D1854" s="2"/>
      <c r="E1854" s="2"/>
      <c r="F1854" s="2"/>
      <c r="G1854" s="2"/>
      <c r="H1854" s="2"/>
      <c r="I1854" s="19"/>
    </row>
    <row r="1855" ht="15.75" customHeight="1">
      <c r="A1855" s="2"/>
      <c r="B1855" s="2"/>
      <c r="C1855" s="2"/>
      <c r="D1855" s="2"/>
      <c r="E1855" s="2"/>
      <c r="F1855" s="2"/>
      <c r="G1855" s="2"/>
      <c r="H1855" s="2"/>
      <c r="I1855" s="19"/>
    </row>
    <row r="1856" ht="15.75" customHeight="1">
      <c r="A1856" s="2"/>
      <c r="B1856" s="2"/>
      <c r="C1856" s="2"/>
      <c r="D1856" s="2"/>
      <c r="E1856" s="2"/>
      <c r="F1856" s="2"/>
      <c r="G1856" s="2"/>
      <c r="H1856" s="2"/>
      <c r="I1856" s="19"/>
    </row>
    <row r="1857" ht="15.75" customHeight="1">
      <c r="A1857" s="2"/>
      <c r="B1857" s="2"/>
      <c r="C1857" s="2"/>
      <c r="D1857" s="2"/>
      <c r="E1857" s="2"/>
      <c r="F1857" s="2"/>
      <c r="G1857" s="2"/>
      <c r="H1857" s="2"/>
      <c r="I1857" s="19"/>
    </row>
    <row r="1858" ht="15.75" customHeight="1">
      <c r="A1858" s="2"/>
      <c r="B1858" s="2"/>
      <c r="C1858" s="2"/>
      <c r="D1858" s="2"/>
      <c r="E1858" s="2"/>
      <c r="F1858" s="2"/>
      <c r="G1858" s="2"/>
      <c r="H1858" s="2"/>
      <c r="I1858" s="19"/>
    </row>
    <row r="1859" ht="15.75" customHeight="1">
      <c r="A1859" s="2"/>
      <c r="B1859" s="2"/>
      <c r="C1859" s="2"/>
      <c r="D1859" s="2"/>
      <c r="E1859" s="2"/>
      <c r="F1859" s="2"/>
      <c r="G1859" s="2"/>
      <c r="H1859" s="2"/>
      <c r="I1859" s="19"/>
    </row>
    <row r="1860" ht="15.75" customHeight="1">
      <c r="A1860" s="2"/>
      <c r="B1860" s="2"/>
      <c r="C1860" s="2"/>
      <c r="D1860" s="2"/>
      <c r="E1860" s="2"/>
      <c r="F1860" s="2"/>
      <c r="G1860" s="2"/>
      <c r="H1860" s="2"/>
      <c r="I1860" s="19"/>
    </row>
    <row r="1861" ht="15.75" customHeight="1">
      <c r="A1861" s="2"/>
      <c r="B1861" s="2"/>
      <c r="C1861" s="2"/>
      <c r="D1861" s="2"/>
      <c r="E1861" s="2"/>
      <c r="F1861" s="2"/>
      <c r="G1861" s="2"/>
      <c r="H1861" s="2"/>
      <c r="I1861" s="19"/>
    </row>
    <row r="1862" ht="15.75" customHeight="1">
      <c r="A1862" s="2"/>
      <c r="B1862" s="2"/>
      <c r="C1862" s="2"/>
      <c r="D1862" s="2"/>
      <c r="E1862" s="2"/>
      <c r="F1862" s="2"/>
      <c r="G1862" s="2"/>
      <c r="H1862" s="2"/>
      <c r="I1862" s="19"/>
    </row>
    <row r="1863" ht="15.75" customHeight="1">
      <c r="A1863" s="2"/>
      <c r="B1863" s="2"/>
      <c r="C1863" s="2"/>
      <c r="D1863" s="2"/>
      <c r="E1863" s="2"/>
      <c r="F1863" s="2"/>
      <c r="G1863" s="2"/>
      <c r="H1863" s="2"/>
      <c r="I1863" s="19"/>
    </row>
    <row r="1864" ht="15.75" customHeight="1">
      <c r="A1864" s="2"/>
      <c r="B1864" s="2"/>
      <c r="C1864" s="2"/>
      <c r="D1864" s="2"/>
      <c r="E1864" s="2"/>
      <c r="F1864" s="2"/>
      <c r="G1864" s="2"/>
      <c r="H1864" s="2"/>
      <c r="I1864" s="19"/>
    </row>
    <row r="1865" ht="15.75" customHeight="1">
      <c r="A1865" s="2"/>
      <c r="B1865" s="2"/>
      <c r="C1865" s="2"/>
      <c r="D1865" s="2"/>
      <c r="E1865" s="2"/>
      <c r="F1865" s="2"/>
      <c r="G1865" s="2"/>
      <c r="H1865" s="2"/>
      <c r="I1865" s="19"/>
    </row>
    <row r="1866" ht="15.75" customHeight="1">
      <c r="A1866" s="2"/>
      <c r="B1866" s="2"/>
      <c r="C1866" s="2"/>
      <c r="D1866" s="2"/>
      <c r="E1866" s="2"/>
      <c r="F1866" s="2"/>
      <c r="G1866" s="2"/>
      <c r="H1866" s="2"/>
      <c r="I1866" s="19"/>
    </row>
    <row r="1867" ht="15.75" customHeight="1">
      <c r="A1867" s="2"/>
      <c r="B1867" s="2"/>
      <c r="C1867" s="2"/>
      <c r="D1867" s="2"/>
      <c r="E1867" s="2"/>
      <c r="F1867" s="2"/>
      <c r="G1867" s="2"/>
      <c r="H1867" s="2"/>
      <c r="I1867" s="19"/>
    </row>
    <row r="1868" ht="15.75" customHeight="1">
      <c r="A1868" s="2"/>
      <c r="B1868" s="2"/>
      <c r="C1868" s="2"/>
      <c r="D1868" s="2"/>
      <c r="E1868" s="2"/>
      <c r="F1868" s="2"/>
      <c r="G1868" s="2"/>
      <c r="H1868" s="2"/>
      <c r="I1868" s="19"/>
    </row>
    <row r="1869" ht="15.75" customHeight="1">
      <c r="A1869" s="2"/>
      <c r="B1869" s="2"/>
      <c r="C1869" s="2"/>
      <c r="D1869" s="2"/>
      <c r="E1869" s="2"/>
      <c r="F1869" s="2"/>
      <c r="G1869" s="2"/>
      <c r="H1869" s="2"/>
      <c r="I1869" s="19"/>
    </row>
    <row r="1870" ht="15.75" customHeight="1">
      <c r="A1870" s="2"/>
      <c r="B1870" s="2"/>
      <c r="C1870" s="2"/>
      <c r="D1870" s="2"/>
      <c r="E1870" s="2"/>
      <c r="F1870" s="2"/>
      <c r="G1870" s="2"/>
      <c r="H1870" s="2"/>
      <c r="I1870" s="19"/>
    </row>
    <row r="1871" ht="15.75" customHeight="1">
      <c r="A1871" s="2"/>
      <c r="B1871" s="2"/>
      <c r="C1871" s="2"/>
      <c r="D1871" s="2"/>
      <c r="E1871" s="2"/>
      <c r="F1871" s="2"/>
      <c r="G1871" s="2"/>
      <c r="H1871" s="2"/>
      <c r="I1871" s="19"/>
    </row>
    <row r="1872" ht="15.75" customHeight="1">
      <c r="A1872" s="2"/>
      <c r="B1872" s="2"/>
      <c r="C1872" s="2"/>
      <c r="D1872" s="2"/>
      <c r="E1872" s="2"/>
      <c r="F1872" s="2"/>
      <c r="G1872" s="2"/>
      <c r="H1872" s="2"/>
      <c r="I1872" s="19"/>
    </row>
    <row r="1873" ht="15.75" customHeight="1">
      <c r="A1873" s="2"/>
      <c r="B1873" s="2"/>
      <c r="C1873" s="2"/>
      <c r="D1873" s="2"/>
      <c r="E1873" s="2"/>
      <c r="F1873" s="2"/>
      <c r="G1873" s="2"/>
      <c r="H1873" s="2"/>
      <c r="I1873" s="19"/>
    </row>
    <row r="1874" ht="15.75" customHeight="1">
      <c r="A1874" s="2"/>
      <c r="B1874" s="2"/>
      <c r="C1874" s="2"/>
      <c r="D1874" s="2"/>
      <c r="E1874" s="2"/>
      <c r="F1874" s="2"/>
      <c r="G1874" s="2"/>
      <c r="H1874" s="2"/>
      <c r="I1874" s="19"/>
    </row>
    <row r="1875" ht="15.75" customHeight="1">
      <c r="A1875" s="2"/>
      <c r="B1875" s="2"/>
      <c r="C1875" s="2"/>
      <c r="D1875" s="2"/>
      <c r="E1875" s="2"/>
      <c r="F1875" s="2"/>
      <c r="G1875" s="2"/>
      <c r="H1875" s="2"/>
      <c r="I1875" s="19"/>
    </row>
    <row r="1876" ht="15.75" customHeight="1">
      <c r="A1876" s="2"/>
      <c r="B1876" s="2"/>
      <c r="C1876" s="2"/>
      <c r="D1876" s="2"/>
      <c r="E1876" s="2"/>
      <c r="F1876" s="2"/>
      <c r="G1876" s="2"/>
      <c r="H1876" s="2"/>
      <c r="I1876" s="19"/>
    </row>
    <row r="1877" ht="15.75" customHeight="1">
      <c r="A1877" s="2"/>
      <c r="B1877" s="2"/>
      <c r="C1877" s="2"/>
      <c r="D1877" s="2"/>
      <c r="E1877" s="2"/>
      <c r="F1877" s="2"/>
      <c r="G1877" s="2"/>
      <c r="H1877" s="2"/>
      <c r="I1877" s="19"/>
    </row>
    <row r="1878" ht="15.75" customHeight="1">
      <c r="A1878" s="2"/>
      <c r="B1878" s="2"/>
      <c r="C1878" s="2"/>
      <c r="D1878" s="2"/>
      <c r="E1878" s="2"/>
      <c r="F1878" s="2"/>
      <c r="G1878" s="2"/>
      <c r="H1878" s="2"/>
      <c r="I1878" s="19"/>
    </row>
    <row r="1879" ht="15.75" customHeight="1">
      <c r="A1879" s="2"/>
      <c r="B1879" s="2"/>
      <c r="C1879" s="2"/>
      <c r="D1879" s="2"/>
      <c r="E1879" s="2"/>
      <c r="F1879" s="2"/>
      <c r="G1879" s="2"/>
      <c r="H1879" s="2"/>
      <c r="I1879" s="19"/>
    </row>
    <row r="1880" ht="15.75" customHeight="1">
      <c r="A1880" s="2"/>
      <c r="B1880" s="2"/>
      <c r="C1880" s="2"/>
      <c r="D1880" s="2"/>
      <c r="E1880" s="2"/>
      <c r="F1880" s="2"/>
      <c r="G1880" s="2"/>
      <c r="H1880" s="2"/>
      <c r="I1880" s="19"/>
    </row>
    <row r="1881" ht="15.75" customHeight="1">
      <c r="A1881" s="2"/>
      <c r="B1881" s="2"/>
      <c r="C1881" s="2"/>
      <c r="D1881" s="2"/>
      <c r="E1881" s="2"/>
      <c r="F1881" s="2"/>
      <c r="G1881" s="2"/>
      <c r="H1881" s="2"/>
      <c r="I1881" s="19"/>
    </row>
    <row r="1882" ht="15.75" customHeight="1">
      <c r="A1882" s="2"/>
      <c r="B1882" s="2"/>
      <c r="C1882" s="2"/>
      <c r="D1882" s="2"/>
      <c r="E1882" s="2"/>
      <c r="F1882" s="2"/>
      <c r="G1882" s="2"/>
      <c r="H1882" s="2"/>
      <c r="I1882" s="19"/>
    </row>
    <row r="1883" ht="15.75" customHeight="1">
      <c r="A1883" s="2"/>
      <c r="B1883" s="2"/>
      <c r="C1883" s="2"/>
      <c r="D1883" s="2"/>
      <c r="E1883" s="2"/>
      <c r="F1883" s="2"/>
      <c r="G1883" s="2"/>
      <c r="H1883" s="2"/>
      <c r="I1883" s="19"/>
    </row>
    <row r="1884" ht="15.75" customHeight="1">
      <c r="A1884" s="2"/>
      <c r="B1884" s="2"/>
      <c r="C1884" s="2"/>
      <c r="D1884" s="2"/>
      <c r="E1884" s="2"/>
      <c r="F1884" s="2"/>
      <c r="G1884" s="2"/>
      <c r="H1884" s="2"/>
      <c r="I1884" s="19"/>
    </row>
    <row r="1885" ht="15.75" customHeight="1">
      <c r="A1885" s="2"/>
      <c r="B1885" s="2"/>
      <c r="C1885" s="2"/>
      <c r="D1885" s="2"/>
      <c r="E1885" s="2"/>
      <c r="F1885" s="2"/>
      <c r="G1885" s="2"/>
      <c r="H1885" s="2"/>
      <c r="I1885" s="19"/>
    </row>
    <row r="1886" ht="15.75" customHeight="1">
      <c r="A1886" s="2"/>
      <c r="B1886" s="2"/>
      <c r="C1886" s="2"/>
      <c r="D1886" s="2"/>
      <c r="E1886" s="2"/>
      <c r="F1886" s="2"/>
      <c r="G1886" s="2"/>
      <c r="H1886" s="2"/>
      <c r="I1886" s="19"/>
    </row>
    <row r="1887" ht="15.75" customHeight="1">
      <c r="A1887" s="2"/>
      <c r="B1887" s="2"/>
      <c r="C1887" s="2"/>
      <c r="D1887" s="2"/>
      <c r="E1887" s="2"/>
      <c r="F1887" s="2"/>
      <c r="G1887" s="2"/>
      <c r="H1887" s="2"/>
      <c r="I1887" s="19"/>
    </row>
    <row r="1888" ht="15.75" customHeight="1">
      <c r="A1888" s="2"/>
      <c r="B1888" s="2"/>
      <c r="C1888" s="2"/>
      <c r="D1888" s="2"/>
      <c r="E1888" s="2"/>
      <c r="F1888" s="2"/>
      <c r="G1888" s="2"/>
      <c r="H1888" s="2"/>
      <c r="I1888" s="19"/>
    </row>
    <row r="1889" ht="15.75" customHeight="1">
      <c r="A1889" s="2"/>
      <c r="B1889" s="2"/>
      <c r="C1889" s="2"/>
      <c r="D1889" s="2"/>
      <c r="E1889" s="2"/>
      <c r="F1889" s="2"/>
      <c r="G1889" s="2"/>
      <c r="H1889" s="2"/>
      <c r="I1889" s="19"/>
    </row>
    <row r="1890" ht="15.75" customHeight="1">
      <c r="A1890" s="2"/>
      <c r="B1890" s="2"/>
      <c r="C1890" s="2"/>
      <c r="D1890" s="2"/>
      <c r="E1890" s="2"/>
      <c r="F1890" s="2"/>
      <c r="G1890" s="2"/>
      <c r="H1890" s="2"/>
      <c r="I1890" s="19"/>
    </row>
    <row r="1891" ht="15.75" customHeight="1">
      <c r="A1891" s="2"/>
      <c r="B1891" s="2"/>
      <c r="C1891" s="2"/>
      <c r="D1891" s="2"/>
      <c r="E1891" s="2"/>
      <c r="F1891" s="2"/>
      <c r="G1891" s="2"/>
      <c r="H1891" s="2"/>
      <c r="I1891" s="19"/>
    </row>
    <row r="1892" ht="15.75" customHeight="1">
      <c r="A1892" s="2"/>
      <c r="B1892" s="2"/>
      <c r="C1892" s="2"/>
      <c r="D1892" s="2"/>
      <c r="E1892" s="2"/>
      <c r="F1892" s="2"/>
      <c r="G1892" s="2"/>
      <c r="H1892" s="2"/>
      <c r="I1892" s="19"/>
    </row>
    <row r="1893" ht="15.75" customHeight="1">
      <c r="A1893" s="2"/>
      <c r="B1893" s="2"/>
      <c r="C1893" s="2"/>
      <c r="D1893" s="2"/>
      <c r="E1893" s="2"/>
      <c r="F1893" s="2"/>
      <c r="G1893" s="2"/>
      <c r="H1893" s="2"/>
      <c r="I1893" s="19"/>
    </row>
    <row r="1894" ht="15.75" customHeight="1">
      <c r="A1894" s="2"/>
      <c r="B1894" s="2"/>
      <c r="C1894" s="2"/>
      <c r="D1894" s="2"/>
      <c r="E1894" s="2"/>
      <c r="F1894" s="2"/>
      <c r="G1894" s="2"/>
      <c r="H1894" s="2"/>
      <c r="I1894" s="19"/>
    </row>
    <row r="1895" ht="15.75" customHeight="1">
      <c r="A1895" s="2"/>
      <c r="B1895" s="2"/>
      <c r="C1895" s="2"/>
      <c r="D1895" s="2"/>
      <c r="E1895" s="2"/>
      <c r="F1895" s="2"/>
      <c r="G1895" s="2"/>
      <c r="H1895" s="2"/>
      <c r="I1895" s="19"/>
    </row>
    <row r="1896" ht="15.75" customHeight="1">
      <c r="A1896" s="2"/>
      <c r="B1896" s="2"/>
      <c r="C1896" s="2"/>
      <c r="D1896" s="2"/>
      <c r="E1896" s="2"/>
      <c r="F1896" s="2"/>
      <c r="G1896" s="2"/>
      <c r="H1896" s="2"/>
      <c r="I1896" s="19"/>
    </row>
    <row r="1897" ht="15.75" customHeight="1">
      <c r="A1897" s="2"/>
      <c r="B1897" s="2"/>
      <c r="C1897" s="2"/>
      <c r="D1897" s="2"/>
      <c r="E1897" s="2"/>
      <c r="F1897" s="2"/>
      <c r="G1897" s="2"/>
      <c r="H1897" s="2"/>
      <c r="I1897" s="19"/>
    </row>
    <row r="1898" ht="15.75" customHeight="1">
      <c r="A1898" s="2"/>
      <c r="B1898" s="2"/>
      <c r="C1898" s="2"/>
      <c r="D1898" s="2"/>
      <c r="E1898" s="2"/>
      <c r="F1898" s="2"/>
      <c r="G1898" s="2"/>
      <c r="H1898" s="2"/>
      <c r="I1898" s="19"/>
    </row>
    <row r="1899" ht="15.75" customHeight="1">
      <c r="A1899" s="2"/>
      <c r="B1899" s="2"/>
      <c r="C1899" s="2"/>
      <c r="D1899" s="2"/>
      <c r="E1899" s="2"/>
      <c r="F1899" s="2"/>
      <c r="G1899" s="2"/>
      <c r="H1899" s="2"/>
      <c r="I1899" s="19"/>
    </row>
    <row r="1900" ht="15.75" customHeight="1">
      <c r="A1900" s="2"/>
      <c r="B1900" s="2"/>
      <c r="C1900" s="2"/>
      <c r="D1900" s="2"/>
      <c r="E1900" s="2"/>
      <c r="F1900" s="2"/>
      <c r="G1900" s="2"/>
      <c r="H1900" s="2"/>
      <c r="I1900" s="19"/>
    </row>
    <row r="1901" ht="15.75" customHeight="1">
      <c r="A1901" s="2"/>
      <c r="B1901" s="2"/>
      <c r="C1901" s="2"/>
      <c r="D1901" s="2"/>
      <c r="E1901" s="2"/>
      <c r="F1901" s="2"/>
      <c r="G1901" s="2"/>
      <c r="H1901" s="2"/>
      <c r="I1901" s="19"/>
    </row>
    <row r="1902" ht="15.75" customHeight="1">
      <c r="A1902" s="2"/>
      <c r="B1902" s="2"/>
      <c r="C1902" s="2"/>
      <c r="D1902" s="2"/>
      <c r="E1902" s="2"/>
      <c r="F1902" s="2"/>
      <c r="G1902" s="2"/>
      <c r="H1902" s="2"/>
      <c r="I1902" s="19"/>
    </row>
    <row r="1903" ht="15.75" customHeight="1">
      <c r="A1903" s="2"/>
      <c r="B1903" s="2"/>
      <c r="C1903" s="2"/>
      <c r="D1903" s="2"/>
      <c r="E1903" s="2"/>
      <c r="F1903" s="2"/>
      <c r="G1903" s="2"/>
      <c r="H1903" s="2"/>
      <c r="I1903" s="19"/>
    </row>
    <row r="1904" ht="15.75" customHeight="1">
      <c r="A1904" s="2"/>
      <c r="B1904" s="2"/>
      <c r="C1904" s="2"/>
      <c r="D1904" s="2"/>
      <c r="E1904" s="2"/>
      <c r="F1904" s="2"/>
      <c r="G1904" s="2"/>
      <c r="H1904" s="2"/>
      <c r="I1904" s="19"/>
    </row>
    <row r="1905" ht="15.75" customHeight="1">
      <c r="A1905" s="2"/>
      <c r="B1905" s="2"/>
      <c r="C1905" s="2"/>
      <c r="D1905" s="2"/>
      <c r="E1905" s="2"/>
      <c r="F1905" s="2"/>
      <c r="G1905" s="2"/>
      <c r="H1905" s="2"/>
      <c r="I1905" s="19"/>
    </row>
    <row r="1906" ht="15.75" customHeight="1">
      <c r="A1906" s="2"/>
      <c r="B1906" s="2"/>
      <c r="C1906" s="2"/>
      <c r="D1906" s="2"/>
      <c r="E1906" s="2"/>
      <c r="F1906" s="2"/>
      <c r="G1906" s="2"/>
      <c r="H1906" s="2"/>
      <c r="I1906" s="19"/>
    </row>
    <row r="1907" ht="15.75" customHeight="1">
      <c r="A1907" s="2"/>
      <c r="B1907" s="2"/>
      <c r="C1907" s="2"/>
      <c r="D1907" s="2"/>
      <c r="E1907" s="2"/>
      <c r="F1907" s="2"/>
      <c r="G1907" s="2"/>
      <c r="H1907" s="2"/>
      <c r="I1907" s="19"/>
    </row>
    <row r="1908" ht="15.75" customHeight="1">
      <c r="A1908" s="2"/>
      <c r="B1908" s="2"/>
      <c r="C1908" s="2"/>
      <c r="D1908" s="2"/>
      <c r="E1908" s="2"/>
      <c r="F1908" s="2"/>
      <c r="G1908" s="2"/>
      <c r="H1908" s="2"/>
      <c r="I1908" s="19"/>
    </row>
    <row r="1909" ht="15.75" customHeight="1">
      <c r="A1909" s="2"/>
      <c r="B1909" s="2"/>
      <c r="C1909" s="2"/>
      <c r="D1909" s="2"/>
      <c r="E1909" s="2"/>
      <c r="F1909" s="2"/>
      <c r="G1909" s="2"/>
      <c r="H1909" s="2"/>
      <c r="I1909" s="19"/>
    </row>
    <row r="1910" ht="15.75" customHeight="1">
      <c r="A1910" s="2"/>
      <c r="B1910" s="2"/>
      <c r="C1910" s="2"/>
      <c r="D1910" s="2"/>
      <c r="E1910" s="2"/>
      <c r="F1910" s="2"/>
      <c r="G1910" s="2"/>
      <c r="H1910" s="2"/>
      <c r="I1910" s="19"/>
    </row>
    <row r="1911" ht="15.75" customHeight="1">
      <c r="A1911" s="2"/>
      <c r="B1911" s="2"/>
      <c r="C1911" s="2"/>
      <c r="D1911" s="2"/>
      <c r="E1911" s="2"/>
      <c r="F1911" s="2"/>
      <c r="G1911" s="2"/>
      <c r="H1911" s="2"/>
      <c r="I1911" s="19"/>
    </row>
    <row r="1912" ht="15.75" customHeight="1">
      <c r="A1912" s="2"/>
      <c r="B1912" s="2"/>
      <c r="C1912" s="2"/>
      <c r="D1912" s="2"/>
      <c r="E1912" s="2"/>
      <c r="F1912" s="2"/>
      <c r="G1912" s="2"/>
      <c r="H1912" s="2"/>
      <c r="I1912" s="19"/>
    </row>
    <row r="1913" ht="15.75" customHeight="1">
      <c r="A1913" s="2"/>
      <c r="B1913" s="2"/>
      <c r="C1913" s="2"/>
      <c r="D1913" s="2"/>
      <c r="E1913" s="2"/>
      <c r="F1913" s="2"/>
      <c r="G1913" s="2"/>
      <c r="H1913" s="2"/>
      <c r="I1913" s="19"/>
    </row>
    <row r="1914" ht="15.75" customHeight="1">
      <c r="A1914" s="2"/>
      <c r="B1914" s="2"/>
      <c r="C1914" s="2"/>
      <c r="D1914" s="2"/>
      <c r="E1914" s="2"/>
      <c r="F1914" s="2"/>
      <c r="G1914" s="2"/>
      <c r="H1914" s="2"/>
      <c r="I1914" s="19"/>
    </row>
    <row r="1915" ht="15.75" customHeight="1">
      <c r="A1915" s="2"/>
      <c r="B1915" s="2"/>
      <c r="C1915" s="2"/>
      <c r="D1915" s="2"/>
      <c r="E1915" s="2"/>
      <c r="F1915" s="2"/>
      <c r="G1915" s="2"/>
      <c r="H1915" s="2"/>
      <c r="I1915" s="19"/>
    </row>
    <row r="1916" ht="15.75" customHeight="1">
      <c r="A1916" s="2"/>
      <c r="B1916" s="2"/>
      <c r="C1916" s="2"/>
      <c r="D1916" s="2"/>
      <c r="E1916" s="2"/>
      <c r="F1916" s="2"/>
      <c r="G1916" s="2"/>
      <c r="H1916" s="2"/>
      <c r="I1916" s="19"/>
    </row>
    <row r="1917" ht="15.75" customHeight="1">
      <c r="A1917" s="2"/>
      <c r="B1917" s="2"/>
      <c r="C1917" s="2"/>
      <c r="D1917" s="2"/>
      <c r="E1917" s="2"/>
      <c r="F1917" s="2"/>
      <c r="G1917" s="2"/>
      <c r="H1917" s="2"/>
      <c r="I1917" s="19"/>
    </row>
    <row r="1918" ht="15.75" customHeight="1">
      <c r="A1918" s="2"/>
      <c r="B1918" s="2"/>
      <c r="C1918" s="2"/>
      <c r="D1918" s="2"/>
      <c r="E1918" s="2"/>
      <c r="F1918" s="2"/>
      <c r="G1918" s="2"/>
      <c r="H1918" s="2"/>
      <c r="I1918" s="19"/>
    </row>
    <row r="1919" ht="15.75" customHeight="1">
      <c r="A1919" s="2"/>
      <c r="B1919" s="2"/>
      <c r="C1919" s="2"/>
      <c r="D1919" s="2"/>
      <c r="E1919" s="2"/>
      <c r="F1919" s="2"/>
      <c r="G1919" s="2"/>
      <c r="H1919" s="2"/>
      <c r="I1919" s="19"/>
    </row>
    <row r="1920" ht="15.75" customHeight="1">
      <c r="A1920" s="2"/>
      <c r="B1920" s="2"/>
      <c r="C1920" s="2"/>
      <c r="D1920" s="2"/>
      <c r="E1920" s="2"/>
      <c r="F1920" s="2"/>
      <c r="G1920" s="2"/>
      <c r="H1920" s="2"/>
      <c r="I1920" s="19"/>
    </row>
    <row r="1921" ht="15.75" customHeight="1">
      <c r="A1921" s="2"/>
      <c r="B1921" s="2"/>
      <c r="C1921" s="2"/>
      <c r="D1921" s="2"/>
      <c r="E1921" s="2"/>
      <c r="F1921" s="2"/>
      <c r="G1921" s="2"/>
      <c r="H1921" s="2"/>
      <c r="I1921" s="19"/>
    </row>
    <row r="1922" ht="15.75" customHeight="1">
      <c r="A1922" s="2"/>
      <c r="B1922" s="2"/>
      <c r="C1922" s="2"/>
      <c r="D1922" s="2"/>
      <c r="E1922" s="2"/>
      <c r="F1922" s="2"/>
      <c r="G1922" s="2"/>
      <c r="H1922" s="2"/>
      <c r="I1922" s="19"/>
    </row>
    <row r="1923" ht="15.75" customHeight="1">
      <c r="A1923" s="2"/>
      <c r="B1923" s="2"/>
      <c r="C1923" s="2"/>
      <c r="D1923" s="2"/>
      <c r="E1923" s="2"/>
      <c r="F1923" s="2"/>
      <c r="G1923" s="2"/>
      <c r="H1923" s="2"/>
      <c r="I1923" s="19"/>
    </row>
    <row r="1924" ht="15.75" customHeight="1">
      <c r="A1924" s="2"/>
      <c r="B1924" s="2"/>
      <c r="C1924" s="2"/>
      <c r="D1924" s="2"/>
      <c r="E1924" s="2"/>
      <c r="F1924" s="2"/>
      <c r="G1924" s="2"/>
      <c r="H1924" s="2"/>
      <c r="I1924" s="19"/>
    </row>
    <row r="1925" ht="15.75" customHeight="1">
      <c r="A1925" s="2"/>
      <c r="B1925" s="2"/>
      <c r="C1925" s="2"/>
      <c r="D1925" s="2"/>
      <c r="E1925" s="2"/>
      <c r="F1925" s="2"/>
      <c r="G1925" s="2"/>
      <c r="H1925" s="2"/>
      <c r="I1925" s="19"/>
    </row>
    <row r="1926" ht="15.75" customHeight="1">
      <c r="A1926" s="2"/>
      <c r="B1926" s="2"/>
      <c r="C1926" s="2"/>
      <c r="D1926" s="2"/>
      <c r="E1926" s="2"/>
      <c r="F1926" s="2"/>
      <c r="G1926" s="2"/>
      <c r="H1926" s="2"/>
      <c r="I1926" s="19"/>
    </row>
    <row r="1927" ht="15.75" customHeight="1">
      <c r="A1927" s="2"/>
      <c r="B1927" s="2"/>
      <c r="C1927" s="2"/>
      <c r="D1927" s="2"/>
      <c r="E1927" s="2"/>
      <c r="F1927" s="2"/>
      <c r="G1927" s="2"/>
      <c r="H1927" s="2"/>
      <c r="I1927" s="19"/>
    </row>
    <row r="1928" ht="15.75" customHeight="1">
      <c r="A1928" s="2"/>
      <c r="B1928" s="2"/>
      <c r="C1928" s="2"/>
      <c r="D1928" s="2"/>
      <c r="E1928" s="2"/>
      <c r="F1928" s="2"/>
      <c r="G1928" s="2"/>
      <c r="H1928" s="2"/>
      <c r="I1928" s="19"/>
    </row>
    <row r="1929" ht="15.75" customHeight="1">
      <c r="A1929" s="2"/>
      <c r="B1929" s="2"/>
      <c r="C1929" s="2"/>
      <c r="D1929" s="2"/>
      <c r="E1929" s="2"/>
      <c r="F1929" s="2"/>
      <c r="G1929" s="2"/>
      <c r="H1929" s="2"/>
      <c r="I1929" s="19"/>
    </row>
    <row r="1930" ht="15.75" customHeight="1">
      <c r="A1930" s="2"/>
      <c r="B1930" s="2"/>
      <c r="C1930" s="2"/>
      <c r="D1930" s="2"/>
      <c r="E1930" s="2"/>
      <c r="F1930" s="2"/>
      <c r="G1930" s="2"/>
      <c r="H1930" s="2"/>
      <c r="I1930" s="19"/>
    </row>
    <row r="1931" ht="15.75" customHeight="1">
      <c r="A1931" s="2"/>
      <c r="B1931" s="2"/>
      <c r="C1931" s="2"/>
      <c r="D1931" s="2"/>
      <c r="E1931" s="2"/>
      <c r="F1931" s="2"/>
      <c r="G1931" s="2"/>
      <c r="H1931" s="2"/>
      <c r="I1931" s="19"/>
    </row>
    <row r="1932" ht="15.75" customHeight="1">
      <c r="A1932" s="2"/>
      <c r="B1932" s="2"/>
      <c r="C1932" s="2"/>
      <c r="D1932" s="2"/>
      <c r="E1932" s="2"/>
      <c r="F1932" s="2"/>
      <c r="G1932" s="2"/>
      <c r="H1932" s="2"/>
      <c r="I1932" s="19"/>
    </row>
    <row r="1933" ht="15.75" customHeight="1">
      <c r="A1933" s="2"/>
      <c r="B1933" s="2"/>
      <c r="C1933" s="2"/>
      <c r="D1933" s="2"/>
      <c r="E1933" s="2"/>
      <c r="F1933" s="2"/>
      <c r="G1933" s="2"/>
      <c r="H1933" s="2"/>
      <c r="I1933" s="19"/>
    </row>
    <row r="1934" ht="15.75" customHeight="1">
      <c r="A1934" s="2"/>
      <c r="B1934" s="2"/>
      <c r="C1934" s="2"/>
      <c r="D1934" s="2"/>
      <c r="E1934" s="2"/>
      <c r="F1934" s="2"/>
      <c r="G1934" s="2"/>
      <c r="H1934" s="2"/>
      <c r="I1934" s="19"/>
    </row>
    <row r="1935" ht="15.75" customHeight="1">
      <c r="A1935" s="2"/>
      <c r="B1935" s="2"/>
      <c r="C1935" s="2"/>
      <c r="D1935" s="2"/>
      <c r="E1935" s="2"/>
      <c r="F1935" s="2"/>
      <c r="G1935" s="2"/>
      <c r="H1935" s="2"/>
      <c r="I1935" s="19"/>
    </row>
    <row r="1936" ht="15.75" customHeight="1">
      <c r="A1936" s="2"/>
      <c r="B1936" s="2"/>
      <c r="C1936" s="2"/>
      <c r="D1936" s="2"/>
      <c r="E1936" s="2"/>
      <c r="F1936" s="2"/>
      <c r="G1936" s="2"/>
      <c r="H1936" s="2"/>
      <c r="I1936" s="19"/>
    </row>
    <row r="1937" ht="15.75" customHeight="1">
      <c r="A1937" s="2"/>
      <c r="B1937" s="2"/>
      <c r="C1937" s="2"/>
      <c r="D1937" s="2"/>
      <c r="E1937" s="2"/>
      <c r="F1937" s="2"/>
      <c r="G1937" s="2"/>
      <c r="H1937" s="2"/>
      <c r="I1937" s="19"/>
    </row>
    <row r="1938" ht="15.75" customHeight="1">
      <c r="A1938" s="2"/>
      <c r="B1938" s="2"/>
      <c r="C1938" s="2"/>
      <c r="D1938" s="2"/>
      <c r="E1938" s="2"/>
      <c r="F1938" s="2"/>
      <c r="G1938" s="2"/>
      <c r="H1938" s="2"/>
      <c r="I1938" s="19"/>
    </row>
    <row r="1939" ht="15.75" customHeight="1">
      <c r="A1939" s="2"/>
      <c r="B1939" s="2"/>
      <c r="C1939" s="2"/>
      <c r="D1939" s="2"/>
      <c r="E1939" s="2"/>
      <c r="F1939" s="2"/>
      <c r="G1939" s="2"/>
      <c r="H1939" s="2"/>
      <c r="I1939" s="19"/>
    </row>
    <row r="1940" ht="15.75" customHeight="1">
      <c r="A1940" s="2"/>
      <c r="B1940" s="2"/>
      <c r="C1940" s="2"/>
      <c r="D1940" s="2"/>
      <c r="E1940" s="2"/>
      <c r="F1940" s="2"/>
      <c r="G1940" s="2"/>
      <c r="H1940" s="2"/>
      <c r="I1940" s="19"/>
    </row>
    <row r="1941" ht="15.75" customHeight="1">
      <c r="A1941" s="2"/>
      <c r="B1941" s="2"/>
      <c r="C1941" s="2"/>
      <c r="D1941" s="2"/>
      <c r="E1941" s="2"/>
      <c r="F1941" s="2"/>
      <c r="G1941" s="2"/>
      <c r="H1941" s="2"/>
      <c r="I1941" s="19"/>
    </row>
    <row r="1942" ht="15.75" customHeight="1">
      <c r="A1942" s="2"/>
      <c r="B1942" s="2"/>
      <c r="C1942" s="2"/>
      <c r="D1942" s="2"/>
      <c r="E1942" s="2"/>
      <c r="F1942" s="2"/>
      <c r="G1942" s="2"/>
      <c r="H1942" s="2"/>
      <c r="I1942" s="19"/>
    </row>
    <row r="1943" ht="15.75" customHeight="1">
      <c r="A1943" s="2"/>
      <c r="B1943" s="2"/>
      <c r="C1943" s="2"/>
      <c r="D1943" s="2"/>
      <c r="E1943" s="2"/>
      <c r="F1943" s="2"/>
      <c r="G1943" s="2"/>
      <c r="H1943" s="2"/>
      <c r="I1943" s="19"/>
    </row>
    <row r="1944" ht="15.75" customHeight="1">
      <c r="A1944" s="2"/>
      <c r="B1944" s="2"/>
      <c r="C1944" s="2"/>
      <c r="D1944" s="2"/>
      <c r="E1944" s="2"/>
      <c r="F1944" s="2"/>
      <c r="G1944" s="2"/>
      <c r="H1944" s="2"/>
      <c r="I1944" s="19"/>
    </row>
    <row r="1945" ht="15.75" customHeight="1">
      <c r="A1945" s="2"/>
      <c r="B1945" s="2"/>
      <c r="C1945" s="2"/>
      <c r="D1945" s="2"/>
      <c r="E1945" s="2"/>
      <c r="F1945" s="2"/>
      <c r="G1945" s="2"/>
      <c r="H1945" s="2"/>
      <c r="I1945" s="19"/>
    </row>
    <row r="1946" ht="15.75" customHeight="1">
      <c r="A1946" s="2"/>
      <c r="B1946" s="2"/>
      <c r="C1946" s="2"/>
      <c r="D1946" s="2"/>
      <c r="E1946" s="2"/>
      <c r="F1946" s="2"/>
      <c r="G1946" s="2"/>
      <c r="H1946" s="2"/>
      <c r="I1946" s="19"/>
    </row>
    <row r="1947" ht="15.75" customHeight="1">
      <c r="A1947" s="2"/>
      <c r="B1947" s="2"/>
      <c r="C1947" s="2"/>
      <c r="D1947" s="2"/>
      <c r="E1947" s="2"/>
      <c r="F1947" s="2"/>
      <c r="G1947" s="2"/>
      <c r="H1947" s="2"/>
      <c r="I1947" s="19"/>
    </row>
    <row r="1948" ht="15.75" customHeight="1">
      <c r="A1948" s="2"/>
      <c r="B1948" s="2"/>
      <c r="C1948" s="2"/>
      <c r="D1948" s="2"/>
      <c r="E1948" s="2"/>
      <c r="F1948" s="2"/>
      <c r="G1948" s="2"/>
      <c r="H1948" s="2"/>
      <c r="I1948" s="19"/>
    </row>
    <row r="1949" ht="15.75" customHeight="1">
      <c r="A1949" s="2"/>
      <c r="B1949" s="2"/>
      <c r="C1949" s="2"/>
      <c r="D1949" s="2"/>
      <c r="E1949" s="2"/>
      <c r="F1949" s="2"/>
      <c r="G1949" s="2"/>
      <c r="H1949" s="2"/>
      <c r="I1949" s="19"/>
    </row>
    <row r="1950" ht="15.75" customHeight="1">
      <c r="A1950" s="2"/>
      <c r="B1950" s="2"/>
      <c r="C1950" s="2"/>
      <c r="D1950" s="2"/>
      <c r="E1950" s="2"/>
      <c r="F1950" s="2"/>
      <c r="G1950" s="2"/>
      <c r="H1950" s="2"/>
      <c r="I1950" s="19"/>
    </row>
    <row r="1951" ht="15.75" customHeight="1">
      <c r="A1951" s="2"/>
      <c r="B1951" s="2"/>
      <c r="C1951" s="2"/>
      <c r="D1951" s="2"/>
      <c r="E1951" s="2"/>
      <c r="F1951" s="2"/>
      <c r="G1951" s="2"/>
      <c r="H1951" s="2"/>
      <c r="I1951" s="19"/>
    </row>
    <row r="1952" ht="15.75" customHeight="1">
      <c r="A1952" s="2"/>
      <c r="B1952" s="2"/>
      <c r="C1952" s="2"/>
      <c r="D1952" s="2"/>
      <c r="E1952" s="2"/>
      <c r="F1952" s="2"/>
      <c r="G1952" s="2"/>
      <c r="H1952" s="2"/>
      <c r="I1952" s="19"/>
    </row>
    <row r="1953" ht="15.75" customHeight="1">
      <c r="A1953" s="2"/>
      <c r="B1953" s="2"/>
      <c r="C1953" s="2"/>
      <c r="D1953" s="2"/>
      <c r="E1953" s="2"/>
      <c r="F1953" s="2"/>
      <c r="G1953" s="2"/>
      <c r="H1953" s="2"/>
      <c r="I1953" s="19"/>
    </row>
    <row r="1954" ht="15.75" customHeight="1">
      <c r="A1954" s="2"/>
      <c r="B1954" s="2"/>
      <c r="C1954" s="2"/>
      <c r="D1954" s="2"/>
      <c r="E1954" s="2"/>
      <c r="F1954" s="2"/>
      <c r="G1954" s="2"/>
      <c r="H1954" s="2"/>
      <c r="I1954" s="19"/>
    </row>
    <row r="1955" ht="15.75" customHeight="1">
      <c r="A1955" s="2"/>
      <c r="B1955" s="2"/>
      <c r="C1955" s="2"/>
      <c r="D1955" s="2"/>
      <c r="E1955" s="2"/>
      <c r="F1955" s="2"/>
      <c r="G1955" s="2"/>
      <c r="H1955" s="2"/>
      <c r="I1955" s="19"/>
    </row>
    <row r="1956" ht="15.75" customHeight="1">
      <c r="A1956" s="2"/>
      <c r="B1956" s="2"/>
      <c r="C1956" s="2"/>
      <c r="D1956" s="2"/>
      <c r="E1956" s="2"/>
      <c r="F1956" s="2"/>
      <c r="G1956" s="2"/>
      <c r="H1956" s="2"/>
      <c r="I1956" s="19"/>
    </row>
    <row r="1957" ht="15.75" customHeight="1">
      <c r="A1957" s="2"/>
      <c r="B1957" s="2"/>
      <c r="C1957" s="2"/>
      <c r="D1957" s="2"/>
      <c r="E1957" s="2"/>
      <c r="F1957" s="2"/>
      <c r="G1957" s="2"/>
      <c r="H1957" s="2"/>
      <c r="I1957" s="19"/>
    </row>
    <row r="1958" ht="15.75" customHeight="1">
      <c r="A1958" s="2"/>
      <c r="B1958" s="2"/>
      <c r="C1958" s="2"/>
      <c r="D1958" s="2"/>
      <c r="E1958" s="2"/>
      <c r="F1958" s="2"/>
      <c r="G1958" s="2"/>
      <c r="H1958" s="2"/>
      <c r="I1958" s="19"/>
    </row>
    <row r="1959" ht="15.75" customHeight="1">
      <c r="A1959" s="2"/>
      <c r="B1959" s="2"/>
      <c r="C1959" s="2"/>
      <c r="D1959" s="2"/>
      <c r="E1959" s="2"/>
      <c r="F1959" s="2"/>
      <c r="G1959" s="2"/>
      <c r="H1959" s="2"/>
      <c r="I1959" s="19"/>
    </row>
    <row r="1960" ht="15.75" customHeight="1">
      <c r="A1960" s="2"/>
      <c r="B1960" s="2"/>
      <c r="C1960" s="2"/>
      <c r="D1960" s="2"/>
      <c r="E1960" s="2"/>
      <c r="F1960" s="2"/>
      <c r="G1960" s="2"/>
      <c r="H1960" s="2"/>
      <c r="I1960" s="19"/>
    </row>
    <row r="1961" ht="15.75" customHeight="1">
      <c r="A1961" s="2"/>
      <c r="B1961" s="2"/>
      <c r="C1961" s="2"/>
      <c r="D1961" s="2"/>
      <c r="E1961" s="2"/>
      <c r="F1961" s="2"/>
      <c r="G1961" s="2"/>
      <c r="H1961" s="2"/>
      <c r="I1961" s="19"/>
    </row>
    <row r="1962" ht="15.75" customHeight="1">
      <c r="A1962" s="2"/>
      <c r="B1962" s="2"/>
      <c r="C1962" s="2"/>
      <c r="D1962" s="2"/>
      <c r="E1962" s="2"/>
      <c r="F1962" s="2"/>
      <c r="G1962" s="2"/>
      <c r="H1962" s="2"/>
      <c r="I1962" s="19"/>
    </row>
    <row r="1963" ht="15.75" customHeight="1">
      <c r="A1963" s="2"/>
      <c r="B1963" s="2"/>
      <c r="C1963" s="2"/>
      <c r="D1963" s="2"/>
      <c r="E1963" s="2"/>
      <c r="F1963" s="2"/>
      <c r="G1963" s="2"/>
      <c r="H1963" s="2"/>
      <c r="I1963" s="19"/>
    </row>
    <row r="1964" ht="15.75" customHeight="1">
      <c r="A1964" s="2"/>
      <c r="B1964" s="2"/>
      <c r="C1964" s="2"/>
      <c r="D1964" s="2"/>
      <c r="E1964" s="2"/>
      <c r="F1964" s="2"/>
      <c r="G1964" s="2"/>
      <c r="H1964" s="2"/>
      <c r="I1964" s="19"/>
    </row>
    <row r="1965" ht="15.75" customHeight="1">
      <c r="A1965" s="2"/>
      <c r="B1965" s="2"/>
      <c r="C1965" s="2"/>
      <c r="D1965" s="2"/>
      <c r="E1965" s="2"/>
      <c r="F1965" s="2"/>
      <c r="G1965" s="2"/>
      <c r="H1965" s="2"/>
      <c r="I1965" s="19"/>
    </row>
    <row r="1966" ht="15.75" customHeight="1">
      <c r="A1966" s="2"/>
      <c r="B1966" s="2"/>
      <c r="C1966" s="2"/>
      <c r="D1966" s="2"/>
      <c r="E1966" s="2"/>
      <c r="F1966" s="2"/>
      <c r="G1966" s="2"/>
      <c r="H1966" s="2"/>
      <c r="I1966" s="19"/>
    </row>
    <row r="1967" ht="15.75" customHeight="1">
      <c r="A1967" s="2"/>
      <c r="B1967" s="2"/>
      <c r="C1967" s="2"/>
      <c r="D1967" s="2"/>
      <c r="E1967" s="2"/>
      <c r="F1967" s="2"/>
      <c r="G1967" s="2"/>
      <c r="H1967" s="2"/>
      <c r="I1967" s="19"/>
    </row>
    <row r="1968" ht="15.75" customHeight="1">
      <c r="A1968" s="2"/>
      <c r="B1968" s="2"/>
      <c r="C1968" s="2"/>
      <c r="D1968" s="2"/>
      <c r="E1968" s="2"/>
      <c r="F1968" s="2"/>
      <c r="G1968" s="2"/>
      <c r="H1968" s="2"/>
      <c r="I1968" s="19"/>
    </row>
    <row r="1969" ht="15.75" customHeight="1">
      <c r="A1969" s="2"/>
      <c r="B1969" s="2"/>
      <c r="C1969" s="2"/>
      <c r="D1969" s="2"/>
      <c r="E1969" s="2"/>
      <c r="F1969" s="2"/>
      <c r="G1969" s="2"/>
      <c r="H1969" s="2"/>
      <c r="I1969" s="19"/>
    </row>
    <row r="1970" ht="15.75" customHeight="1">
      <c r="A1970" s="2"/>
      <c r="B1970" s="2"/>
      <c r="C1970" s="2"/>
      <c r="D1970" s="2"/>
      <c r="E1970" s="2"/>
      <c r="F1970" s="2"/>
      <c r="G1970" s="2"/>
      <c r="H1970" s="2"/>
      <c r="I1970" s="19"/>
    </row>
    <row r="1971" ht="15.75" customHeight="1">
      <c r="A1971" s="2"/>
      <c r="B1971" s="2"/>
      <c r="C1971" s="2"/>
      <c r="D1971" s="2"/>
      <c r="E1971" s="2"/>
      <c r="F1971" s="2"/>
      <c r="G1971" s="2"/>
      <c r="H1971" s="2"/>
      <c r="I1971" s="19"/>
    </row>
    <row r="1972" ht="15.75" customHeight="1">
      <c r="A1972" s="2"/>
      <c r="B1972" s="2"/>
      <c r="C1972" s="2"/>
      <c r="D1972" s="2"/>
      <c r="E1972" s="2"/>
      <c r="F1972" s="2"/>
      <c r="G1972" s="2"/>
      <c r="H1972" s="2"/>
      <c r="I1972" s="19"/>
    </row>
    <row r="1973" ht="15.75" customHeight="1">
      <c r="A1973" s="2"/>
      <c r="B1973" s="2"/>
      <c r="C1973" s="2"/>
      <c r="D1973" s="2"/>
      <c r="E1973" s="2"/>
      <c r="F1973" s="2"/>
      <c r="G1973" s="2"/>
      <c r="H1973" s="2"/>
      <c r="I1973" s="19"/>
    </row>
    <row r="1974" ht="15.75" customHeight="1">
      <c r="A1974" s="2"/>
      <c r="B1974" s="2"/>
      <c r="C1974" s="2"/>
      <c r="D1974" s="2"/>
      <c r="E1974" s="2"/>
      <c r="F1974" s="2"/>
      <c r="G1974" s="2"/>
      <c r="H1974" s="2"/>
      <c r="I1974" s="19"/>
    </row>
    <row r="1975" ht="15.75" customHeight="1">
      <c r="A1975" s="2"/>
      <c r="B1975" s="2"/>
      <c r="C1975" s="2"/>
      <c r="D1975" s="2"/>
      <c r="E1975" s="2"/>
      <c r="F1975" s="2"/>
      <c r="G1975" s="2"/>
      <c r="H1975" s="2"/>
      <c r="I1975" s="19"/>
    </row>
    <row r="1976" ht="15.75" customHeight="1">
      <c r="A1976" s="2"/>
      <c r="B1976" s="2"/>
      <c r="C1976" s="2"/>
      <c r="D1976" s="2"/>
      <c r="E1976" s="2"/>
      <c r="F1976" s="2"/>
      <c r="G1976" s="2"/>
      <c r="H1976" s="2"/>
      <c r="I1976" s="19"/>
    </row>
    <row r="1977" ht="15.75" customHeight="1">
      <c r="A1977" s="2"/>
      <c r="B1977" s="2"/>
      <c r="C1977" s="2"/>
      <c r="D1977" s="2"/>
      <c r="E1977" s="2"/>
      <c r="F1977" s="2"/>
      <c r="G1977" s="2"/>
      <c r="H1977" s="2"/>
      <c r="I1977" s="19"/>
    </row>
    <row r="1978" ht="15.75" customHeight="1">
      <c r="A1978" s="2"/>
      <c r="B1978" s="2"/>
      <c r="C1978" s="2"/>
      <c r="D1978" s="2"/>
      <c r="E1978" s="2"/>
      <c r="F1978" s="2"/>
      <c r="G1978" s="2"/>
      <c r="H1978" s="2"/>
      <c r="I1978" s="19"/>
    </row>
    <row r="1979" ht="15.75" customHeight="1">
      <c r="A1979" s="2"/>
      <c r="B1979" s="2"/>
      <c r="C1979" s="2"/>
      <c r="D1979" s="2"/>
      <c r="E1979" s="2"/>
      <c r="F1979" s="2"/>
      <c r="G1979" s="2"/>
      <c r="H1979" s="2"/>
      <c r="I1979" s="19"/>
    </row>
    <row r="1980" ht="15.75" customHeight="1">
      <c r="A1980" s="2"/>
      <c r="B1980" s="2"/>
      <c r="C1980" s="2"/>
      <c r="D1980" s="2"/>
      <c r="E1980" s="2"/>
      <c r="F1980" s="2"/>
      <c r="G1980" s="2"/>
      <c r="H1980" s="2"/>
      <c r="I1980" s="19"/>
    </row>
    <row r="1981" ht="15.75" customHeight="1">
      <c r="A1981" s="2"/>
      <c r="B1981" s="2"/>
      <c r="C1981" s="2"/>
      <c r="D1981" s="2"/>
      <c r="E1981" s="2"/>
      <c r="F1981" s="2"/>
      <c r="G1981" s="2"/>
      <c r="H1981" s="2"/>
      <c r="I1981" s="19"/>
    </row>
    <row r="1982" ht="15.75" customHeight="1">
      <c r="A1982" s="2"/>
      <c r="B1982" s="2"/>
      <c r="C1982" s="2"/>
      <c r="D1982" s="2"/>
      <c r="E1982" s="2"/>
      <c r="F1982" s="2"/>
      <c r="G1982" s="2"/>
      <c r="H1982" s="2"/>
      <c r="I1982" s="19"/>
    </row>
    <row r="1983" ht="15.75" customHeight="1">
      <c r="A1983" s="2"/>
      <c r="B1983" s="2"/>
      <c r="C1983" s="2"/>
      <c r="D1983" s="2"/>
      <c r="E1983" s="2"/>
      <c r="F1983" s="2"/>
      <c r="G1983" s="2"/>
      <c r="H1983" s="2"/>
      <c r="I1983" s="19"/>
    </row>
    <row r="1984" ht="15.75" customHeight="1">
      <c r="A1984" s="2"/>
      <c r="B1984" s="2"/>
      <c r="C1984" s="2"/>
      <c r="D1984" s="2"/>
      <c r="E1984" s="2"/>
      <c r="F1984" s="2"/>
      <c r="G1984" s="2"/>
      <c r="H1984" s="2"/>
      <c r="I1984" s="19"/>
    </row>
    <row r="1985" ht="15.75" customHeight="1">
      <c r="A1985" s="2"/>
      <c r="B1985" s="2"/>
      <c r="C1985" s="2"/>
      <c r="D1985" s="2"/>
      <c r="E1985" s="2"/>
      <c r="F1985" s="2"/>
      <c r="G1985" s="2"/>
      <c r="H1985" s="2"/>
      <c r="I1985" s="19"/>
    </row>
    <row r="1986" ht="15.75" customHeight="1">
      <c r="A1986" s="2"/>
      <c r="B1986" s="2"/>
      <c r="C1986" s="2"/>
      <c r="D1986" s="2"/>
      <c r="E1986" s="2"/>
      <c r="F1986" s="2"/>
      <c r="G1986" s="2"/>
      <c r="H1986" s="2"/>
      <c r="I1986" s="19"/>
    </row>
    <row r="1987" ht="15.75" customHeight="1">
      <c r="A1987" s="2"/>
      <c r="B1987" s="2"/>
      <c r="C1987" s="2"/>
      <c r="D1987" s="2"/>
      <c r="E1987" s="2"/>
      <c r="F1987" s="2"/>
      <c r="G1987" s="2"/>
      <c r="H1987" s="2"/>
      <c r="I1987" s="19"/>
    </row>
    <row r="1988" ht="15.75" customHeight="1">
      <c r="A1988" s="2"/>
      <c r="B1988" s="2"/>
      <c r="C1988" s="2"/>
      <c r="D1988" s="2"/>
      <c r="E1988" s="2"/>
      <c r="F1988" s="2"/>
      <c r="G1988" s="2"/>
      <c r="H1988" s="2"/>
      <c r="I1988" s="19"/>
    </row>
    <row r="1989" ht="15.75" customHeight="1">
      <c r="A1989" s="2"/>
      <c r="B1989" s="2"/>
      <c r="C1989" s="2"/>
      <c r="D1989" s="2"/>
      <c r="E1989" s="2"/>
      <c r="F1989" s="2"/>
      <c r="G1989" s="2"/>
      <c r="H1989" s="2"/>
      <c r="I1989" s="19"/>
    </row>
    <row r="1990" ht="15.75" customHeight="1">
      <c r="A1990" s="2"/>
      <c r="B1990" s="2"/>
      <c r="C1990" s="2"/>
      <c r="D1990" s="2"/>
      <c r="E1990" s="2"/>
      <c r="F1990" s="2"/>
      <c r="G1990" s="2"/>
      <c r="H1990" s="2"/>
      <c r="I1990" s="19"/>
    </row>
    <row r="1991" ht="15.75" customHeight="1">
      <c r="A1991" s="2"/>
      <c r="B1991" s="2"/>
      <c r="C1991" s="2"/>
      <c r="D1991" s="2"/>
      <c r="E1991" s="2"/>
      <c r="F1991" s="2"/>
      <c r="G1991" s="2"/>
      <c r="H1991" s="2"/>
      <c r="I1991" s="19"/>
    </row>
    <row r="1992" ht="15.75" customHeight="1">
      <c r="A1992" s="2"/>
      <c r="B1992" s="2"/>
      <c r="C1992" s="2"/>
      <c r="D1992" s="2"/>
      <c r="E1992" s="2"/>
      <c r="F1992" s="2"/>
      <c r="G1992" s="2"/>
      <c r="H1992" s="2"/>
      <c r="I1992" s="19"/>
    </row>
    <row r="1993" ht="15.75" customHeight="1">
      <c r="A1993" s="2"/>
      <c r="B1993" s="2"/>
      <c r="C1993" s="2"/>
      <c r="D1993" s="2"/>
      <c r="E1993" s="2"/>
      <c r="F1993" s="2"/>
      <c r="G1993" s="2"/>
      <c r="H1993" s="2"/>
      <c r="I1993" s="19"/>
    </row>
    <row r="1994" ht="15.75" customHeight="1">
      <c r="A1994" s="2"/>
      <c r="B1994" s="2"/>
      <c r="C1994" s="2"/>
      <c r="D1994" s="2"/>
      <c r="E1994" s="2"/>
      <c r="F1994" s="2"/>
      <c r="G1994" s="2"/>
      <c r="H1994" s="2"/>
      <c r="I1994" s="19"/>
    </row>
    <row r="1995" ht="15.75" customHeight="1">
      <c r="A1995" s="2"/>
      <c r="B1995" s="2"/>
      <c r="C1995" s="2"/>
      <c r="D1995" s="2"/>
      <c r="E1995" s="2"/>
      <c r="F1995" s="2"/>
      <c r="G1995" s="2"/>
      <c r="H1995" s="2"/>
      <c r="I1995" s="19"/>
    </row>
    <row r="1996" ht="15.75" customHeight="1">
      <c r="A1996" s="2"/>
      <c r="B1996" s="2"/>
      <c r="C1996" s="2"/>
      <c r="D1996" s="2"/>
      <c r="E1996" s="2"/>
      <c r="F1996" s="2"/>
      <c r="G1996" s="2"/>
      <c r="H1996" s="2"/>
      <c r="I1996" s="19"/>
    </row>
    <row r="1997" ht="15.75" customHeight="1">
      <c r="A1997" s="2"/>
      <c r="B1997" s="2"/>
      <c r="C1997" s="2"/>
      <c r="D1997" s="2"/>
      <c r="E1997" s="2"/>
      <c r="F1997" s="2"/>
      <c r="G1997" s="2"/>
      <c r="H1997" s="2"/>
      <c r="I1997" s="19"/>
    </row>
    <row r="1998" ht="15.75" customHeight="1">
      <c r="A1998" s="2"/>
      <c r="B1998" s="2"/>
      <c r="C1998" s="2"/>
      <c r="D1998" s="2"/>
      <c r="E1998" s="2"/>
      <c r="F1998" s="2"/>
      <c r="G1998" s="2"/>
      <c r="H1998" s="2"/>
      <c r="I1998" s="19"/>
    </row>
    <row r="1999" ht="15.75" customHeight="1">
      <c r="A1999" s="2"/>
      <c r="B1999" s="2"/>
      <c r="C1999" s="2"/>
      <c r="D1999" s="2"/>
      <c r="E1999" s="2"/>
      <c r="F1999" s="2"/>
      <c r="G1999" s="2"/>
      <c r="H1999" s="2"/>
      <c r="I1999" s="19"/>
    </row>
    <row r="2000" ht="15.75" customHeight="1">
      <c r="A2000" s="2"/>
      <c r="B2000" s="2"/>
      <c r="C2000" s="2"/>
      <c r="D2000" s="2"/>
      <c r="E2000" s="2"/>
      <c r="F2000" s="2"/>
      <c r="G2000" s="2"/>
      <c r="H2000" s="2"/>
      <c r="I2000" s="19"/>
    </row>
    <row r="2001" ht="15.75" customHeight="1">
      <c r="A2001" s="2"/>
      <c r="B2001" s="2"/>
      <c r="C2001" s="2"/>
      <c r="D2001" s="2"/>
      <c r="E2001" s="2"/>
      <c r="F2001" s="2"/>
      <c r="G2001" s="2"/>
      <c r="H2001" s="2"/>
      <c r="I2001" s="19"/>
    </row>
    <row r="2002" ht="15.75" customHeight="1">
      <c r="A2002" s="2"/>
      <c r="B2002" s="2"/>
      <c r="C2002" s="2"/>
      <c r="D2002" s="2"/>
      <c r="E2002" s="2"/>
      <c r="F2002" s="2"/>
      <c r="G2002" s="2"/>
      <c r="H2002" s="2"/>
      <c r="I2002" s="19"/>
    </row>
    <row r="2003" ht="15.75" customHeight="1">
      <c r="A2003" s="2"/>
      <c r="B2003" s="2"/>
      <c r="C2003" s="2"/>
      <c r="D2003" s="2"/>
      <c r="E2003" s="2"/>
      <c r="F2003" s="2"/>
      <c r="G2003" s="2"/>
      <c r="H2003" s="2"/>
      <c r="I2003" s="19"/>
    </row>
    <row r="2004" ht="15.75" customHeight="1">
      <c r="A2004" s="2"/>
      <c r="B2004" s="2"/>
      <c r="C2004" s="2"/>
      <c r="D2004" s="2"/>
      <c r="E2004" s="2"/>
      <c r="F2004" s="2"/>
      <c r="G2004" s="2"/>
      <c r="H2004" s="2"/>
      <c r="I2004" s="19"/>
    </row>
    <row r="2005" ht="15.75" customHeight="1">
      <c r="A2005" s="2"/>
      <c r="B2005" s="2"/>
      <c r="C2005" s="2"/>
      <c r="D2005" s="2"/>
      <c r="E2005" s="2"/>
      <c r="F2005" s="2"/>
      <c r="G2005" s="2"/>
      <c r="H2005" s="2"/>
      <c r="I2005" s="19"/>
    </row>
    <row r="2006" ht="15.75" customHeight="1">
      <c r="A2006" s="2"/>
      <c r="B2006" s="2"/>
      <c r="C2006" s="2"/>
      <c r="D2006" s="2"/>
      <c r="E2006" s="2"/>
      <c r="F2006" s="2"/>
      <c r="G2006" s="2"/>
      <c r="H2006" s="2"/>
      <c r="I2006" s="19"/>
    </row>
    <row r="2007" ht="15.75" customHeight="1">
      <c r="A2007" s="2"/>
      <c r="B2007" s="2"/>
      <c r="C2007" s="2"/>
      <c r="D2007" s="2"/>
      <c r="E2007" s="2"/>
      <c r="F2007" s="2"/>
      <c r="G2007" s="2"/>
      <c r="H2007" s="2"/>
      <c r="I2007" s="19"/>
    </row>
    <row r="2008" ht="15.75" customHeight="1">
      <c r="A2008" s="2"/>
      <c r="B2008" s="2"/>
      <c r="C2008" s="2"/>
      <c r="D2008" s="2"/>
      <c r="E2008" s="2"/>
      <c r="F2008" s="2"/>
      <c r="G2008" s="2"/>
      <c r="H2008" s="2"/>
      <c r="I2008" s="19"/>
    </row>
    <row r="2009" ht="15.75" customHeight="1">
      <c r="A2009" s="2"/>
      <c r="B2009" s="2"/>
      <c r="C2009" s="2"/>
      <c r="D2009" s="2"/>
      <c r="E2009" s="2"/>
      <c r="F2009" s="2"/>
      <c r="G2009" s="2"/>
      <c r="H2009" s="2"/>
      <c r="I2009" s="19"/>
    </row>
    <row r="2010" ht="15.75" customHeight="1">
      <c r="A2010" s="2"/>
      <c r="B2010" s="2"/>
      <c r="C2010" s="2"/>
      <c r="D2010" s="2"/>
      <c r="E2010" s="2"/>
      <c r="F2010" s="2"/>
      <c r="G2010" s="2"/>
      <c r="H2010" s="2"/>
      <c r="I2010" s="19"/>
    </row>
    <row r="2011" ht="15.75" customHeight="1">
      <c r="A2011" s="2"/>
      <c r="B2011" s="2"/>
      <c r="C2011" s="2"/>
      <c r="D2011" s="2"/>
      <c r="E2011" s="2"/>
      <c r="F2011" s="2"/>
      <c r="G2011" s="2"/>
      <c r="H2011" s="2"/>
      <c r="I2011" s="19"/>
    </row>
    <row r="2012" ht="15.75" customHeight="1">
      <c r="A2012" s="2"/>
      <c r="B2012" s="2"/>
      <c r="C2012" s="2"/>
      <c r="D2012" s="2"/>
      <c r="E2012" s="2"/>
      <c r="F2012" s="2"/>
      <c r="G2012" s="2"/>
      <c r="H2012" s="2"/>
      <c r="I2012" s="19"/>
    </row>
    <row r="2013" ht="15.75" customHeight="1">
      <c r="A2013" s="2"/>
      <c r="B2013" s="2"/>
      <c r="C2013" s="2"/>
      <c r="D2013" s="2"/>
      <c r="E2013" s="2"/>
      <c r="F2013" s="2"/>
      <c r="G2013" s="2"/>
      <c r="H2013" s="2"/>
      <c r="I2013" s="19"/>
    </row>
    <row r="2014" ht="15.75" customHeight="1">
      <c r="A2014" s="2"/>
      <c r="B2014" s="2"/>
      <c r="C2014" s="2"/>
      <c r="D2014" s="2"/>
      <c r="E2014" s="2"/>
      <c r="F2014" s="2"/>
      <c r="G2014" s="2"/>
      <c r="H2014" s="2"/>
      <c r="I2014" s="19"/>
    </row>
    <row r="2015" ht="15.75" customHeight="1">
      <c r="A2015" s="2"/>
      <c r="B2015" s="2"/>
      <c r="C2015" s="2"/>
      <c r="D2015" s="2"/>
      <c r="E2015" s="2"/>
      <c r="F2015" s="2"/>
      <c r="G2015" s="2"/>
      <c r="H2015" s="2"/>
      <c r="I2015" s="19"/>
    </row>
    <row r="2016" ht="15.75" customHeight="1">
      <c r="A2016" s="2"/>
      <c r="B2016" s="2"/>
      <c r="C2016" s="2"/>
      <c r="D2016" s="2"/>
      <c r="E2016" s="2"/>
      <c r="F2016" s="2"/>
      <c r="G2016" s="2"/>
      <c r="H2016" s="2"/>
      <c r="I2016" s="19"/>
    </row>
    <row r="2017" ht="15.75" customHeight="1">
      <c r="A2017" s="2"/>
      <c r="B2017" s="2"/>
      <c r="C2017" s="2"/>
      <c r="D2017" s="2"/>
      <c r="E2017" s="2"/>
      <c r="F2017" s="2"/>
      <c r="G2017" s="2"/>
      <c r="H2017" s="2"/>
      <c r="I2017" s="19"/>
    </row>
    <row r="2018" ht="15.75" customHeight="1">
      <c r="A2018" s="2"/>
      <c r="B2018" s="2"/>
      <c r="C2018" s="2"/>
      <c r="D2018" s="2"/>
      <c r="E2018" s="2"/>
      <c r="F2018" s="2"/>
      <c r="G2018" s="2"/>
      <c r="H2018" s="2"/>
      <c r="I2018" s="19"/>
    </row>
    <row r="2019" ht="15.75" customHeight="1">
      <c r="A2019" s="2"/>
      <c r="B2019" s="2"/>
      <c r="C2019" s="2"/>
      <c r="D2019" s="2"/>
      <c r="E2019" s="2"/>
      <c r="F2019" s="2"/>
      <c r="G2019" s="2"/>
      <c r="H2019" s="2"/>
      <c r="I2019" s="19"/>
    </row>
    <row r="2020" ht="15.75" customHeight="1">
      <c r="A2020" s="2"/>
      <c r="B2020" s="2"/>
      <c r="C2020" s="2"/>
      <c r="D2020" s="2"/>
      <c r="E2020" s="2"/>
      <c r="F2020" s="2"/>
      <c r="G2020" s="2"/>
      <c r="H2020" s="2"/>
      <c r="I2020" s="19"/>
    </row>
    <row r="2021" ht="15.75" customHeight="1">
      <c r="A2021" s="2"/>
      <c r="B2021" s="2"/>
      <c r="C2021" s="2"/>
      <c r="D2021" s="2"/>
      <c r="E2021" s="2"/>
      <c r="F2021" s="2"/>
      <c r="G2021" s="2"/>
      <c r="H2021" s="2"/>
      <c r="I2021" s="19"/>
    </row>
    <row r="2022" ht="15.75" customHeight="1">
      <c r="A2022" s="2"/>
      <c r="B2022" s="2"/>
      <c r="C2022" s="2"/>
      <c r="D2022" s="2"/>
      <c r="E2022" s="2"/>
      <c r="F2022" s="2"/>
      <c r="G2022" s="2"/>
      <c r="H2022" s="2"/>
      <c r="I2022" s="19"/>
    </row>
    <row r="2023" ht="15.75" customHeight="1">
      <c r="A2023" s="2"/>
      <c r="B2023" s="2"/>
      <c r="C2023" s="2"/>
      <c r="D2023" s="2"/>
      <c r="E2023" s="2"/>
      <c r="F2023" s="2"/>
      <c r="G2023" s="2"/>
      <c r="H2023" s="2"/>
      <c r="I2023" s="19"/>
    </row>
    <row r="2024" ht="15.75" customHeight="1">
      <c r="A2024" s="2"/>
      <c r="B2024" s="2"/>
      <c r="C2024" s="2"/>
      <c r="D2024" s="2"/>
      <c r="E2024" s="2"/>
      <c r="F2024" s="2"/>
      <c r="G2024" s="2"/>
      <c r="H2024" s="2"/>
      <c r="I2024" s="19"/>
    </row>
    <row r="2025" ht="15.75" customHeight="1">
      <c r="A2025" s="2"/>
      <c r="B2025" s="2"/>
      <c r="C2025" s="2"/>
      <c r="D2025" s="2"/>
      <c r="E2025" s="2"/>
      <c r="F2025" s="2"/>
      <c r="G2025" s="2"/>
      <c r="H2025" s="2"/>
      <c r="I2025" s="19"/>
    </row>
    <row r="2026" ht="15.75" customHeight="1">
      <c r="A2026" s="2"/>
      <c r="B2026" s="2"/>
      <c r="C2026" s="2"/>
      <c r="D2026" s="2"/>
      <c r="E2026" s="2"/>
      <c r="F2026" s="2"/>
      <c r="G2026" s="2"/>
      <c r="H2026" s="2"/>
      <c r="I2026" s="19"/>
    </row>
  </sheetData>
  <dataValidations>
    <dataValidation type="list" allowBlank="1" showErrorMessage="1" sqref="C5:C2026">
      <formula1>Listas!$C$5:$C$11</formula1>
    </dataValidation>
    <dataValidation type="date" allowBlank="1" sqref="A6:A2026">
      <formula1>46300.0</formula1>
      <formula2>46387.0</formula2>
    </dataValidation>
    <dataValidation type="list" allowBlank="1" showErrorMessage="1" sqref="B5:B2026">
      <formula1>Listas!$E$5:$E$22</formula1>
    </dataValidation>
    <dataValidation type="list" allowBlank="1" sqref="E6:E2026">
      <formula1>Listas!$G$5:$G$9</formula1>
    </dataValidation>
    <dataValidation type="decimal" operator="greaterThanOrEqual" allowBlank="1" sqref="H6:H2026">
      <formula1>0.0</formula1>
    </dataValidation>
    <dataValidation type="list" allowBlank="1" sqref="I6:I2026">
      <formula1>Listas!$I$5:$I$9</formula1>
    </dataValidation>
  </dataValidations>
  <hyperlinks>
    <hyperlink r:id="rId1" ref="E6"/>
    <hyperlink r:id="rId2" ref="E9"/>
    <hyperlink r:id="rId3" ref="E14"/>
    <hyperlink r:id="rId4" ref="E16"/>
    <hyperlink r:id="rId5" ref="E19"/>
    <hyperlink r:id="rId6" ref="E24"/>
    <hyperlink r:id="rId7" ref="E26"/>
    <hyperlink r:id="rId8" ref="E28"/>
    <hyperlink r:id="rId9" ref="E29"/>
    <hyperlink r:id="rId10" ref="E30"/>
    <hyperlink r:id="rId11" ref="E31"/>
    <hyperlink r:id="rId12" ref="E32"/>
    <hyperlink r:id="rId13" ref="E37"/>
    <hyperlink r:id="rId14" ref="E39"/>
    <hyperlink r:id="rId15" ref="E43"/>
    <hyperlink r:id="rId16" ref="E45"/>
    <hyperlink r:id="rId17" ref="E51"/>
    <hyperlink r:id="rId18" ref="E52"/>
    <hyperlink r:id="rId19" ref="E67"/>
    <hyperlink r:id="rId20" ref="E68"/>
    <hyperlink r:id="rId21" ref="E84"/>
    <hyperlink r:id="rId22" ref="E85"/>
    <hyperlink r:id="rId23" ref="E90"/>
    <hyperlink r:id="rId24" ref="E92"/>
    <hyperlink r:id="rId25" ref="E94"/>
    <hyperlink r:id="rId26" ref="E97"/>
    <hyperlink r:id="rId27" ref="E108"/>
    <hyperlink r:id="rId28" ref="E109"/>
    <hyperlink r:id="rId29" ref="E119"/>
  </hyperlinks>
  <printOptions/>
  <pageMargins bottom="1.0" footer="0.0" header="0.0" left="0.75" right="0.75" top="1.0"/>
  <pageSetup fitToHeight="0" orientation="landscape"/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3.0"/>
    <col customWidth="1" min="2" max="2" width="27.71"/>
    <col customWidth="1" min="3" max="3" width="13.57"/>
    <col customWidth="1" min="4" max="4" width="13.14"/>
    <col customWidth="1" min="5" max="5" width="20.71"/>
    <col customWidth="1" min="6" max="6" width="20.0"/>
    <col customWidth="1" min="7" max="7" width="15.57"/>
    <col customWidth="1" min="8" max="8" width="18.0"/>
    <col customWidth="1" min="9" max="9" width="11.43"/>
    <col customWidth="1" min="10" max="10" width="14.0"/>
    <col customWidth="1" min="11" max="11" width="19.14"/>
    <col customWidth="1" min="12" max="12" width="14.0"/>
    <col customWidth="1" min="13" max="13" width="28.0"/>
    <col customWidth="1" min="14" max="23" width="8.71"/>
  </cols>
  <sheetData>
    <row r="1">
      <c r="A1" s="1" t="s">
        <v>5</v>
      </c>
    </row>
    <row r="2">
      <c r="A2" s="5" t="s">
        <v>7</v>
      </c>
    </row>
    <row r="3">
      <c r="A3" s="7">
        <v>46300.0</v>
      </c>
      <c r="B3" s="8" t="s">
        <v>10</v>
      </c>
      <c r="C3" s="8" t="s">
        <v>11</v>
      </c>
      <c r="D3" s="8" t="s">
        <v>13</v>
      </c>
      <c r="E3" s="8" t="s">
        <v>16</v>
      </c>
      <c r="F3" s="8" t="s">
        <v>18</v>
      </c>
      <c r="G3" s="8" t="s">
        <v>20</v>
      </c>
      <c r="H3" s="8" t="s">
        <v>21</v>
      </c>
      <c r="I3" s="8" t="s">
        <v>22</v>
      </c>
      <c r="J3" s="13">
        <v>25000.0</v>
      </c>
      <c r="K3" s="8">
        <v>510.0</v>
      </c>
      <c r="L3" s="15">
        <v>49.0196078431373</v>
      </c>
      <c r="M3" s="17" t="s">
        <v>25</v>
      </c>
    </row>
    <row r="4">
      <c r="A4" s="16" t="s">
        <v>26</v>
      </c>
      <c r="B4" s="21">
        <f>COUNT(A6:A1005)</f>
        <v>9</v>
      </c>
      <c r="K4" s="23" t="s">
        <v>30</v>
      </c>
    </row>
    <row r="5" ht="42.0" customHeight="1">
      <c r="A5" s="18" t="s">
        <v>33</v>
      </c>
      <c r="B5" s="18" t="s">
        <v>34</v>
      </c>
      <c r="C5" s="18" t="s">
        <v>35</v>
      </c>
      <c r="D5" s="18" t="s">
        <v>36</v>
      </c>
      <c r="E5" s="18" t="s">
        <v>37</v>
      </c>
      <c r="F5" s="18" t="s">
        <v>38</v>
      </c>
      <c r="G5" s="18" t="s">
        <v>39</v>
      </c>
      <c r="H5" s="18" t="s">
        <v>40</v>
      </c>
      <c r="I5" s="18" t="s">
        <v>41</v>
      </c>
      <c r="J5" s="18" t="s">
        <v>42</v>
      </c>
      <c r="K5" s="18" t="s">
        <v>43</v>
      </c>
      <c r="L5" s="18" t="s">
        <v>44</v>
      </c>
      <c r="M5" s="18" t="s">
        <v>45</v>
      </c>
    </row>
    <row r="6">
      <c r="A6" s="25">
        <v>46306.0</v>
      </c>
      <c r="B6" s="26" t="s">
        <v>46</v>
      </c>
      <c r="C6" s="31" t="str">
        <f t="array" ref="C6">IF(B6="","",IFERROR(INDEX(Listas!$Q$5:$Q$20,MATCH(B6,Listas!$P$5:$P$20,0)),""))</f>
        <v>Entrada</v>
      </c>
      <c r="D6" s="26" t="s">
        <v>53</v>
      </c>
      <c r="E6" s="26" t="s">
        <v>54</v>
      </c>
      <c r="F6" s="26" t="s">
        <v>55</v>
      </c>
      <c r="G6" s="26" t="s">
        <v>56</v>
      </c>
      <c r="H6" s="26" t="s">
        <v>57</v>
      </c>
      <c r="I6" s="34" t="s">
        <v>59</v>
      </c>
      <c r="J6" s="38">
        <v>21.0</v>
      </c>
      <c r="K6" s="39">
        <v>430.0</v>
      </c>
      <c r="L6" s="43">
        <f t="shared" ref="L6:L1005" si="1">IF(OR(J6="",I6=""),"",IF(I6="USD",J6,IF(N(K6)=0,"",J6/K6)))</f>
        <v>21</v>
      </c>
      <c r="M6" s="44"/>
    </row>
    <row r="7">
      <c r="A7" s="25">
        <v>46308.0</v>
      </c>
      <c r="B7" s="26" t="s">
        <v>46</v>
      </c>
      <c r="C7" s="31" t="str">
        <f t="array" ref="C7">IF(B7="","",IFERROR(INDEX(Listas!$Q$5:$Q$20,MATCH(B7,Listas!$P$5:$P$20,0)),""))</f>
        <v>Entrada</v>
      </c>
      <c r="D7" s="26" t="s">
        <v>53</v>
      </c>
      <c r="E7" s="26" t="s">
        <v>79</v>
      </c>
      <c r="F7" s="26" t="s">
        <v>80</v>
      </c>
      <c r="G7" s="26" t="s">
        <v>56</v>
      </c>
      <c r="H7" s="26" t="s">
        <v>81</v>
      </c>
      <c r="I7" s="34" t="s">
        <v>59</v>
      </c>
      <c r="J7" s="38">
        <v>30.0</v>
      </c>
      <c r="K7" s="39">
        <v>430.0</v>
      </c>
      <c r="L7" s="43">
        <f t="shared" si="1"/>
        <v>30</v>
      </c>
      <c r="M7" s="44"/>
    </row>
    <row r="8">
      <c r="A8" s="25">
        <v>46309.0</v>
      </c>
      <c r="B8" s="26" t="s">
        <v>46</v>
      </c>
      <c r="C8" s="31" t="str">
        <f t="array" ref="C8">IF(B8="","",IFERROR(INDEX(Listas!$Q$5:$Q$20,MATCH(B8,Listas!$P$5:$P$20,0)),""))</f>
        <v>Entrada</v>
      </c>
      <c r="D8" s="26" t="s">
        <v>85</v>
      </c>
      <c r="E8" s="26" t="s">
        <v>72</v>
      </c>
      <c r="F8" s="26" t="s">
        <v>86</v>
      </c>
      <c r="G8" s="26" t="s">
        <v>56</v>
      </c>
      <c r="H8" s="26" t="s">
        <v>87</v>
      </c>
      <c r="I8" s="34" t="s">
        <v>59</v>
      </c>
      <c r="J8" s="38">
        <v>108.0</v>
      </c>
      <c r="K8" s="39">
        <v>430.0</v>
      </c>
      <c r="L8" s="43">
        <f t="shared" si="1"/>
        <v>108</v>
      </c>
      <c r="M8" s="44"/>
    </row>
    <row r="9">
      <c r="A9" s="25">
        <v>46311.0</v>
      </c>
      <c r="B9" s="26" t="s">
        <v>46</v>
      </c>
      <c r="C9" s="31" t="str">
        <f t="array" ref="C9">IF(B9="","",IFERROR(INDEX(Listas!$Q$5:$Q$20,MATCH(B9,Listas!$P$5:$P$20,0)),""))</f>
        <v>Entrada</v>
      </c>
      <c r="D9" s="26" t="s">
        <v>93</v>
      </c>
      <c r="E9" s="26" t="s">
        <v>72</v>
      </c>
      <c r="F9" s="26" t="s">
        <v>55</v>
      </c>
      <c r="G9" s="26" t="s">
        <v>56</v>
      </c>
      <c r="H9" s="26" t="s">
        <v>56</v>
      </c>
      <c r="I9" s="34" t="s">
        <v>59</v>
      </c>
      <c r="J9" s="38">
        <v>260.0</v>
      </c>
      <c r="K9" s="39">
        <v>459.0</v>
      </c>
      <c r="L9" s="43">
        <f t="shared" si="1"/>
        <v>260</v>
      </c>
      <c r="M9" s="44"/>
    </row>
    <row r="10">
      <c r="A10" s="25">
        <v>46311.0</v>
      </c>
      <c r="B10" s="26" t="s">
        <v>46</v>
      </c>
      <c r="C10" s="31" t="str">
        <f t="array" ref="C10">IF(B10="","",IFERROR(INDEX(Listas!$Q$5:$Q$20,MATCH(B10,Listas!$P$5:$P$20,0)),""))</f>
        <v>Entrada</v>
      </c>
      <c r="D10" s="26" t="s">
        <v>93</v>
      </c>
      <c r="E10" s="26" t="s">
        <v>72</v>
      </c>
      <c r="F10" s="26" t="s">
        <v>100</v>
      </c>
      <c r="G10" s="26" t="s">
        <v>56</v>
      </c>
      <c r="H10" s="26" t="s">
        <v>56</v>
      </c>
      <c r="I10" s="34" t="s">
        <v>59</v>
      </c>
      <c r="J10" s="38">
        <v>124.0</v>
      </c>
      <c r="K10" s="39">
        <v>459.0</v>
      </c>
      <c r="L10" s="43">
        <f t="shared" si="1"/>
        <v>124</v>
      </c>
      <c r="M10" s="44"/>
    </row>
    <row r="11">
      <c r="A11" s="25">
        <v>46312.0</v>
      </c>
      <c r="B11" s="26" t="s">
        <v>46</v>
      </c>
      <c r="C11" s="31" t="str">
        <f t="array" ref="C11">IF(B11="","",IFERROR(INDEX(Listas!$Q$5:$Q$20,MATCH(B11,Listas!$P$5:$P$20,0)),""))</f>
        <v>Entrada</v>
      </c>
      <c r="D11" s="26" t="s">
        <v>29</v>
      </c>
      <c r="E11" s="26" t="s">
        <v>79</v>
      </c>
      <c r="F11" s="26" t="s">
        <v>104</v>
      </c>
      <c r="G11" s="26" t="s">
        <v>56</v>
      </c>
      <c r="H11" s="26" t="s">
        <v>56</v>
      </c>
      <c r="I11" s="34" t="s">
        <v>59</v>
      </c>
      <c r="J11" s="38">
        <v>40.0</v>
      </c>
      <c r="K11" s="39">
        <v>459.0</v>
      </c>
      <c r="L11" s="43">
        <f t="shared" si="1"/>
        <v>40</v>
      </c>
      <c r="M11" s="44"/>
    </row>
    <row r="12">
      <c r="A12" s="25">
        <v>46313.0</v>
      </c>
      <c r="B12" s="26" t="s">
        <v>46</v>
      </c>
      <c r="C12" s="31" t="str">
        <f t="array" ref="C12">IF(B12="","",IFERROR(INDEX(Listas!$Q$5:$Q$20,MATCH(B12,Listas!$P$5:$P$20,0)),""))</f>
        <v>Entrada</v>
      </c>
      <c r="D12" s="26" t="s">
        <v>105</v>
      </c>
      <c r="E12" s="26" t="s">
        <v>88</v>
      </c>
      <c r="F12" s="26" t="s">
        <v>107</v>
      </c>
      <c r="G12" s="26" t="s">
        <v>56</v>
      </c>
      <c r="H12" s="26" t="s">
        <v>56</v>
      </c>
      <c r="I12" s="34" t="s">
        <v>59</v>
      </c>
      <c r="J12" s="47">
        <f>10000/459</f>
        <v>21.78649237</v>
      </c>
      <c r="K12" s="39">
        <v>459.0</v>
      </c>
      <c r="L12" s="43">
        <f t="shared" si="1"/>
        <v>21.78649237</v>
      </c>
      <c r="M12" s="44"/>
    </row>
    <row r="13">
      <c r="A13" s="25">
        <v>46319.0</v>
      </c>
      <c r="B13" s="26" t="s">
        <v>46</v>
      </c>
      <c r="C13" s="31" t="str">
        <f t="array" ref="C13">IF(B13="","",IFERROR(INDEX(Listas!$Q$5:$Q$20,MATCH(B13,Listas!$P$5:$P$20,0)),""))</f>
        <v>Entrada</v>
      </c>
      <c r="D13" s="26" t="s">
        <v>102</v>
      </c>
      <c r="E13" s="26" t="s">
        <v>102</v>
      </c>
      <c r="F13" s="26" t="s">
        <v>80</v>
      </c>
      <c r="G13" s="26" t="s">
        <v>56</v>
      </c>
      <c r="H13" s="26" t="s">
        <v>56</v>
      </c>
      <c r="I13" s="34" t="s">
        <v>59</v>
      </c>
      <c r="J13" s="38">
        <v>20.0</v>
      </c>
      <c r="K13" s="39">
        <v>459.0</v>
      </c>
      <c r="L13" s="43">
        <f t="shared" si="1"/>
        <v>20</v>
      </c>
      <c r="M13" s="44"/>
    </row>
    <row r="14">
      <c r="A14" s="25">
        <v>46320.0</v>
      </c>
      <c r="B14" s="26" t="s">
        <v>46</v>
      </c>
      <c r="C14" s="31" t="str">
        <f t="array" ref="C14">IF(B14="","",IFERROR(INDEX(Listas!$Q$5:$Q$20,MATCH(B14,Listas!$P$5:$P$20,0)),""))</f>
        <v>Entrada</v>
      </c>
      <c r="D14" s="26" t="s">
        <v>29</v>
      </c>
      <c r="E14" s="26" t="s">
        <v>79</v>
      </c>
      <c r="F14" s="26" t="s">
        <v>114</v>
      </c>
      <c r="G14" s="26" t="s">
        <v>56</v>
      </c>
      <c r="H14" s="26" t="s">
        <v>56</v>
      </c>
      <c r="I14" s="34" t="s">
        <v>59</v>
      </c>
      <c r="J14" s="38">
        <v>30.0</v>
      </c>
      <c r="K14" s="39">
        <v>459.0</v>
      </c>
      <c r="L14" s="43">
        <f t="shared" si="1"/>
        <v>30</v>
      </c>
      <c r="M14" s="44"/>
    </row>
    <row r="15">
      <c r="A15" s="48"/>
      <c r="B15" s="44"/>
      <c r="C15" s="31" t="str">
        <f t="array" ref="C15">IF(B15="","",IFERROR(INDEX(Listas!$Q$5:$Q$20,MATCH(B15,Listas!$P$5:$P$20,0)),""))</f>
        <v/>
      </c>
      <c r="D15" s="44"/>
      <c r="E15" s="44"/>
      <c r="F15" s="44"/>
      <c r="G15" s="44"/>
      <c r="H15" s="44"/>
      <c r="I15" s="49"/>
      <c r="J15" s="47"/>
      <c r="K15" s="50"/>
      <c r="L15" s="43" t="str">
        <f t="shared" si="1"/>
        <v/>
      </c>
      <c r="M15" s="44"/>
    </row>
    <row r="16">
      <c r="A16" s="48"/>
      <c r="B16" s="44"/>
      <c r="C16" s="31" t="str">
        <f t="array" ref="C16">IF(B16="","",IFERROR(INDEX(Listas!$Q$5:$Q$20,MATCH(B16,Listas!$P$5:$P$20,0)),""))</f>
        <v/>
      </c>
      <c r="D16" s="44"/>
      <c r="E16" s="44"/>
      <c r="F16" s="44"/>
      <c r="G16" s="44"/>
      <c r="H16" s="44"/>
      <c r="I16" s="49"/>
      <c r="J16" s="47"/>
      <c r="K16" s="50"/>
      <c r="L16" s="43" t="str">
        <f t="shared" si="1"/>
        <v/>
      </c>
      <c r="M16" s="44"/>
    </row>
    <row r="17">
      <c r="A17" s="48"/>
      <c r="B17" s="44"/>
      <c r="C17" s="31" t="str">
        <f t="array" ref="C17">IF(B17="","",IFERROR(INDEX(Listas!$Q$5:$Q$20,MATCH(B17,Listas!$P$5:$P$20,0)),""))</f>
        <v/>
      </c>
      <c r="D17" s="44"/>
      <c r="E17" s="44"/>
      <c r="F17" s="44"/>
      <c r="G17" s="44"/>
      <c r="H17" s="44"/>
      <c r="I17" s="49"/>
      <c r="J17" s="47"/>
      <c r="K17" s="50"/>
      <c r="L17" s="43" t="str">
        <f t="shared" si="1"/>
        <v/>
      </c>
      <c r="M17" s="44"/>
    </row>
    <row r="18">
      <c r="A18" s="48"/>
      <c r="B18" s="44"/>
      <c r="C18" s="31" t="str">
        <f t="array" ref="C18">IF(B18="","",IFERROR(INDEX(Listas!$Q$5:$Q$20,MATCH(B18,Listas!$P$5:$P$20,0)),""))</f>
        <v/>
      </c>
      <c r="D18" s="44"/>
      <c r="E18" s="44"/>
      <c r="F18" s="44"/>
      <c r="G18" s="44"/>
      <c r="H18" s="44"/>
      <c r="I18" s="49"/>
      <c r="J18" s="47"/>
      <c r="K18" s="50"/>
      <c r="L18" s="43" t="str">
        <f t="shared" si="1"/>
        <v/>
      </c>
      <c r="M18" s="44"/>
    </row>
    <row r="19">
      <c r="A19" s="48"/>
      <c r="B19" s="44"/>
      <c r="C19" s="31" t="str">
        <f t="array" ref="C19">IF(B19="","",IFERROR(INDEX(Listas!$Q$5:$Q$20,MATCH(B19,Listas!$P$5:$P$20,0)),""))</f>
        <v/>
      </c>
      <c r="D19" s="44"/>
      <c r="E19" s="44"/>
      <c r="F19" s="44"/>
      <c r="G19" s="44"/>
      <c r="H19" s="44"/>
      <c r="I19" s="49"/>
      <c r="J19" s="47"/>
      <c r="K19" s="50"/>
      <c r="L19" s="43" t="str">
        <f t="shared" si="1"/>
        <v/>
      </c>
      <c r="M19" s="44"/>
    </row>
    <row r="20">
      <c r="A20" s="48"/>
      <c r="B20" s="44"/>
      <c r="C20" s="31" t="str">
        <f t="array" ref="C20">IF(B20="","",IFERROR(INDEX(Listas!$Q$5:$Q$20,MATCH(B20,Listas!$P$5:$P$20,0)),""))</f>
        <v/>
      </c>
      <c r="D20" s="44"/>
      <c r="E20" s="44"/>
      <c r="F20" s="44"/>
      <c r="G20" s="44"/>
      <c r="H20" s="44"/>
      <c r="I20" s="49"/>
      <c r="J20" s="47"/>
      <c r="K20" s="50"/>
      <c r="L20" s="43" t="str">
        <f t="shared" si="1"/>
        <v/>
      </c>
      <c r="M20" s="44"/>
    </row>
    <row r="21" ht="15.75" customHeight="1">
      <c r="A21" s="48"/>
      <c r="B21" s="44"/>
      <c r="C21" s="31" t="str">
        <f t="array" ref="C21">IF(B21="","",IFERROR(INDEX(Listas!$Q$5:$Q$20,MATCH(B21,Listas!$P$5:$P$20,0)),""))</f>
        <v/>
      </c>
      <c r="D21" s="44"/>
      <c r="E21" s="44"/>
      <c r="F21" s="44"/>
      <c r="G21" s="44"/>
      <c r="H21" s="44"/>
      <c r="I21" s="49"/>
      <c r="J21" s="47"/>
      <c r="K21" s="50"/>
      <c r="L21" s="43" t="str">
        <f t="shared" si="1"/>
        <v/>
      </c>
      <c r="M21" s="44"/>
    </row>
    <row r="22" ht="15.75" customHeight="1">
      <c r="A22" s="48"/>
      <c r="B22" s="44"/>
      <c r="C22" s="31" t="str">
        <f t="array" ref="C22">IF(B22="","",IFERROR(INDEX(Listas!$Q$5:$Q$20,MATCH(B22,Listas!$P$5:$P$20,0)),""))</f>
        <v/>
      </c>
      <c r="D22" s="44"/>
      <c r="E22" s="44"/>
      <c r="F22" s="44"/>
      <c r="G22" s="44"/>
      <c r="H22" s="44"/>
      <c r="I22" s="49"/>
      <c r="J22" s="47"/>
      <c r="K22" s="50"/>
      <c r="L22" s="43" t="str">
        <f t="shared" si="1"/>
        <v/>
      </c>
      <c r="M22" s="44"/>
    </row>
    <row r="23" ht="15.75" customHeight="1">
      <c r="A23" s="48"/>
      <c r="B23" s="44"/>
      <c r="C23" s="31" t="str">
        <f t="array" ref="C23">IF(B23="","",IFERROR(INDEX(Listas!$Q$5:$Q$20,MATCH(B23,Listas!$P$5:$P$20,0)),""))</f>
        <v/>
      </c>
      <c r="D23" s="44"/>
      <c r="E23" s="44"/>
      <c r="F23" s="44"/>
      <c r="G23" s="44"/>
      <c r="H23" s="44"/>
      <c r="I23" s="49"/>
      <c r="J23" s="47"/>
      <c r="K23" s="50"/>
      <c r="L23" s="43" t="str">
        <f t="shared" si="1"/>
        <v/>
      </c>
      <c r="M23" s="44"/>
    </row>
    <row r="24" ht="15.75" customHeight="1">
      <c r="A24" s="48"/>
      <c r="B24" s="44"/>
      <c r="C24" s="31" t="str">
        <f t="array" ref="C24">IF(B24="","",IFERROR(INDEX(Listas!$Q$5:$Q$20,MATCH(B24,Listas!$P$5:$P$20,0)),""))</f>
        <v/>
      </c>
      <c r="D24" s="44"/>
      <c r="E24" s="44"/>
      <c r="F24" s="44"/>
      <c r="G24" s="44"/>
      <c r="H24" s="44"/>
      <c r="I24" s="49"/>
      <c r="J24" s="47"/>
      <c r="K24" s="50"/>
      <c r="L24" s="43" t="str">
        <f t="shared" si="1"/>
        <v/>
      </c>
      <c r="M24" s="44"/>
    </row>
    <row r="25" ht="15.75" customHeight="1">
      <c r="A25" s="48"/>
      <c r="B25" s="44"/>
      <c r="C25" s="31" t="str">
        <f t="array" ref="C25">IF(B25="","",IFERROR(INDEX(Listas!$Q$5:$Q$20,MATCH(B25,Listas!$P$5:$P$20,0)),""))</f>
        <v/>
      </c>
      <c r="D25" s="44"/>
      <c r="E25" s="44"/>
      <c r="F25" s="44"/>
      <c r="G25" s="44"/>
      <c r="H25" s="44"/>
      <c r="I25" s="49"/>
      <c r="J25" s="47"/>
      <c r="K25" s="50"/>
      <c r="L25" s="43" t="str">
        <f t="shared" si="1"/>
        <v/>
      </c>
      <c r="M25" s="44"/>
    </row>
    <row r="26" ht="15.75" customHeight="1">
      <c r="A26" s="48"/>
      <c r="B26" s="44"/>
      <c r="C26" s="31" t="str">
        <f t="array" ref="C26">IF(B26="","",IFERROR(INDEX(Listas!$Q$5:$Q$20,MATCH(B26,Listas!$P$5:$P$20,0)),""))</f>
        <v/>
      </c>
      <c r="D26" s="44"/>
      <c r="E26" s="44"/>
      <c r="F26" s="44"/>
      <c r="G26" s="44"/>
      <c r="H26" s="44"/>
      <c r="I26" s="49"/>
      <c r="J26" s="47"/>
      <c r="K26" s="50"/>
      <c r="L26" s="43" t="str">
        <f t="shared" si="1"/>
        <v/>
      </c>
      <c r="M26" s="44"/>
    </row>
    <row r="27" ht="15.75" customHeight="1">
      <c r="A27" s="48"/>
      <c r="B27" s="44"/>
      <c r="C27" s="31" t="str">
        <f t="array" ref="C27">IF(B27="","",IFERROR(INDEX(Listas!$Q$5:$Q$20,MATCH(B27,Listas!$P$5:$P$20,0)),""))</f>
        <v/>
      </c>
      <c r="D27" s="44"/>
      <c r="E27" s="44"/>
      <c r="F27" s="44"/>
      <c r="G27" s="44"/>
      <c r="H27" s="44"/>
      <c r="I27" s="49"/>
      <c r="J27" s="47"/>
      <c r="K27" s="50"/>
      <c r="L27" s="43" t="str">
        <f t="shared" si="1"/>
        <v/>
      </c>
      <c r="M27" s="44"/>
    </row>
    <row r="28" ht="15.75" customHeight="1">
      <c r="A28" s="48"/>
      <c r="B28" s="44"/>
      <c r="C28" s="31" t="str">
        <f t="array" ref="C28">IF(B28="","",IFERROR(INDEX(Listas!$Q$5:$Q$20,MATCH(B28,Listas!$P$5:$P$20,0)),""))</f>
        <v/>
      </c>
      <c r="D28" s="44"/>
      <c r="E28" s="44"/>
      <c r="F28" s="44"/>
      <c r="G28" s="44"/>
      <c r="H28" s="44"/>
      <c r="I28" s="49"/>
      <c r="J28" s="47"/>
      <c r="K28" s="50"/>
      <c r="L28" s="43" t="str">
        <f t="shared" si="1"/>
        <v/>
      </c>
      <c r="M28" s="44"/>
    </row>
    <row r="29" ht="15.75" customHeight="1">
      <c r="A29" s="48"/>
      <c r="B29" s="44"/>
      <c r="C29" s="31" t="str">
        <f t="array" ref="C29">IF(B29="","",IFERROR(INDEX(Listas!$Q$5:$Q$20,MATCH(B29,Listas!$P$5:$P$20,0)),""))</f>
        <v/>
      </c>
      <c r="D29" s="44"/>
      <c r="E29" s="44"/>
      <c r="F29" s="44"/>
      <c r="G29" s="44"/>
      <c r="H29" s="44"/>
      <c r="I29" s="49"/>
      <c r="J29" s="47"/>
      <c r="K29" s="50"/>
      <c r="L29" s="43" t="str">
        <f t="shared" si="1"/>
        <v/>
      </c>
      <c r="M29" s="44"/>
    </row>
    <row r="30" ht="15.75" customHeight="1">
      <c r="A30" s="48"/>
      <c r="B30" s="44"/>
      <c r="C30" s="31" t="str">
        <f t="array" ref="C30">IF(B30="","",IFERROR(INDEX(Listas!$Q$5:$Q$20,MATCH(B30,Listas!$P$5:$P$20,0)),""))</f>
        <v/>
      </c>
      <c r="D30" s="44"/>
      <c r="E30" s="44"/>
      <c r="F30" s="44"/>
      <c r="G30" s="44"/>
      <c r="H30" s="44"/>
      <c r="I30" s="49"/>
      <c r="J30" s="47"/>
      <c r="K30" s="50"/>
      <c r="L30" s="43" t="str">
        <f t="shared" si="1"/>
        <v/>
      </c>
      <c r="M30" s="44"/>
    </row>
    <row r="31" ht="15.75" customHeight="1">
      <c r="A31" s="48"/>
      <c r="B31" s="44"/>
      <c r="C31" s="31" t="str">
        <f t="array" ref="C31">IF(B31="","",IFERROR(INDEX(Listas!$Q$5:$Q$20,MATCH(B31,Listas!$P$5:$P$20,0)),""))</f>
        <v/>
      </c>
      <c r="D31" s="44"/>
      <c r="E31" s="44"/>
      <c r="F31" s="44"/>
      <c r="G31" s="44"/>
      <c r="H31" s="44"/>
      <c r="I31" s="49"/>
      <c r="J31" s="47"/>
      <c r="K31" s="50"/>
      <c r="L31" s="43" t="str">
        <f t="shared" si="1"/>
        <v/>
      </c>
      <c r="M31" s="44"/>
    </row>
    <row r="32" ht="15.75" customHeight="1">
      <c r="A32" s="48"/>
      <c r="B32" s="44"/>
      <c r="C32" s="31" t="str">
        <f t="array" ref="C32">IF(B32="","",IFERROR(INDEX(Listas!$Q$5:$Q$20,MATCH(B32,Listas!$P$5:$P$20,0)),""))</f>
        <v/>
      </c>
      <c r="D32" s="44"/>
      <c r="E32" s="44"/>
      <c r="F32" s="44"/>
      <c r="G32" s="44"/>
      <c r="H32" s="44"/>
      <c r="I32" s="49"/>
      <c r="J32" s="47"/>
      <c r="K32" s="50"/>
      <c r="L32" s="43" t="str">
        <f t="shared" si="1"/>
        <v/>
      </c>
      <c r="M32" s="44"/>
    </row>
    <row r="33" ht="15.75" customHeight="1">
      <c r="A33" s="48"/>
      <c r="B33" s="44"/>
      <c r="C33" s="31" t="str">
        <f t="array" ref="C33">IF(B33="","",IFERROR(INDEX(Listas!$Q$5:$Q$20,MATCH(B33,Listas!$P$5:$P$20,0)),""))</f>
        <v/>
      </c>
      <c r="D33" s="44"/>
      <c r="E33" s="44"/>
      <c r="F33" s="44"/>
      <c r="G33" s="44"/>
      <c r="H33" s="44"/>
      <c r="I33" s="49"/>
      <c r="J33" s="47"/>
      <c r="K33" s="50"/>
      <c r="L33" s="43" t="str">
        <f t="shared" si="1"/>
        <v/>
      </c>
      <c r="M33" s="44"/>
    </row>
    <row r="34" ht="15.75" customHeight="1">
      <c r="A34" s="48"/>
      <c r="B34" s="44"/>
      <c r="C34" s="31" t="str">
        <f t="array" ref="C34">IF(B34="","",IFERROR(INDEX(Listas!$Q$5:$Q$20,MATCH(B34,Listas!$P$5:$P$20,0)),""))</f>
        <v/>
      </c>
      <c r="D34" s="44"/>
      <c r="E34" s="44"/>
      <c r="F34" s="44"/>
      <c r="G34" s="44"/>
      <c r="H34" s="44"/>
      <c r="I34" s="49"/>
      <c r="J34" s="47"/>
      <c r="K34" s="50"/>
      <c r="L34" s="43" t="str">
        <f t="shared" si="1"/>
        <v/>
      </c>
      <c r="M34" s="44"/>
    </row>
    <row r="35" ht="15.75" customHeight="1">
      <c r="A35" s="48"/>
      <c r="B35" s="44"/>
      <c r="C35" s="31" t="str">
        <f t="array" ref="C35">IF(B35="","",IFERROR(INDEX(Listas!$Q$5:$Q$20,MATCH(B35,Listas!$P$5:$P$20,0)),""))</f>
        <v/>
      </c>
      <c r="D35" s="44"/>
      <c r="E35" s="44"/>
      <c r="F35" s="44"/>
      <c r="G35" s="44"/>
      <c r="H35" s="44"/>
      <c r="I35" s="49"/>
      <c r="J35" s="47"/>
      <c r="K35" s="50"/>
      <c r="L35" s="43" t="str">
        <f t="shared" si="1"/>
        <v/>
      </c>
      <c r="M35" s="44"/>
    </row>
    <row r="36" ht="15.75" customHeight="1">
      <c r="A36" s="48"/>
      <c r="B36" s="44"/>
      <c r="C36" s="31" t="str">
        <f t="array" ref="C36">IF(B36="","",IFERROR(INDEX(Listas!$Q$5:$Q$20,MATCH(B36,Listas!$P$5:$P$20,0)),""))</f>
        <v/>
      </c>
      <c r="D36" s="44"/>
      <c r="E36" s="44"/>
      <c r="F36" s="44"/>
      <c r="G36" s="44"/>
      <c r="H36" s="44"/>
      <c r="I36" s="49"/>
      <c r="J36" s="47"/>
      <c r="K36" s="50"/>
      <c r="L36" s="43" t="str">
        <f t="shared" si="1"/>
        <v/>
      </c>
      <c r="M36" s="44"/>
    </row>
    <row r="37" ht="15.75" customHeight="1">
      <c r="A37" s="48"/>
      <c r="B37" s="44"/>
      <c r="C37" s="31" t="str">
        <f t="array" ref="C37">IF(B37="","",IFERROR(INDEX(Listas!$Q$5:$Q$20,MATCH(B37,Listas!$P$5:$P$20,0)),""))</f>
        <v/>
      </c>
      <c r="D37" s="44"/>
      <c r="E37" s="44"/>
      <c r="F37" s="44"/>
      <c r="G37" s="44"/>
      <c r="H37" s="44"/>
      <c r="I37" s="49"/>
      <c r="J37" s="47"/>
      <c r="K37" s="50"/>
      <c r="L37" s="43" t="str">
        <f t="shared" si="1"/>
        <v/>
      </c>
      <c r="M37" s="44"/>
    </row>
    <row r="38" ht="15.75" customHeight="1">
      <c r="A38" s="48"/>
      <c r="B38" s="44"/>
      <c r="C38" s="31" t="str">
        <f t="array" ref="C38">IF(B38="","",IFERROR(INDEX(Listas!$Q$5:$Q$20,MATCH(B38,Listas!$P$5:$P$20,0)),""))</f>
        <v/>
      </c>
      <c r="D38" s="44"/>
      <c r="E38" s="44"/>
      <c r="F38" s="44"/>
      <c r="G38" s="44"/>
      <c r="H38" s="44"/>
      <c r="I38" s="49"/>
      <c r="J38" s="47"/>
      <c r="K38" s="50"/>
      <c r="L38" s="43" t="str">
        <f t="shared" si="1"/>
        <v/>
      </c>
      <c r="M38" s="44"/>
    </row>
    <row r="39" ht="15.75" customHeight="1">
      <c r="A39" s="48"/>
      <c r="B39" s="44"/>
      <c r="C39" s="31" t="str">
        <f t="array" ref="C39">IF(B39="","",IFERROR(INDEX(Listas!$Q$5:$Q$20,MATCH(B39,Listas!$P$5:$P$20,0)),""))</f>
        <v/>
      </c>
      <c r="D39" s="44"/>
      <c r="E39" s="44"/>
      <c r="F39" s="44"/>
      <c r="G39" s="44"/>
      <c r="H39" s="44"/>
      <c r="I39" s="49"/>
      <c r="J39" s="47"/>
      <c r="K39" s="50"/>
      <c r="L39" s="43" t="str">
        <f t="shared" si="1"/>
        <v/>
      </c>
      <c r="M39" s="44"/>
    </row>
    <row r="40" ht="15.75" customHeight="1">
      <c r="A40" s="48"/>
      <c r="B40" s="44"/>
      <c r="C40" s="31" t="str">
        <f t="array" ref="C40">IF(B40="","",IFERROR(INDEX(Listas!$Q$5:$Q$20,MATCH(B40,Listas!$P$5:$P$20,0)),""))</f>
        <v/>
      </c>
      <c r="D40" s="44"/>
      <c r="E40" s="44"/>
      <c r="F40" s="44"/>
      <c r="G40" s="44"/>
      <c r="H40" s="44"/>
      <c r="I40" s="49"/>
      <c r="J40" s="47"/>
      <c r="K40" s="50"/>
      <c r="L40" s="43" t="str">
        <f t="shared" si="1"/>
        <v/>
      </c>
      <c r="M40" s="44"/>
    </row>
    <row r="41" ht="15.75" customHeight="1">
      <c r="A41" s="48"/>
      <c r="B41" s="44"/>
      <c r="C41" s="31" t="str">
        <f t="array" ref="C41">IF(B41="","",IFERROR(INDEX(Listas!$Q$5:$Q$20,MATCH(B41,Listas!$P$5:$P$20,0)),""))</f>
        <v/>
      </c>
      <c r="D41" s="44"/>
      <c r="E41" s="44"/>
      <c r="F41" s="44"/>
      <c r="G41" s="44"/>
      <c r="H41" s="44"/>
      <c r="I41" s="49"/>
      <c r="J41" s="47"/>
      <c r="K41" s="50"/>
      <c r="L41" s="43" t="str">
        <f t="shared" si="1"/>
        <v/>
      </c>
      <c r="M41" s="44"/>
    </row>
    <row r="42" ht="15.75" customHeight="1">
      <c r="A42" s="48"/>
      <c r="B42" s="44"/>
      <c r="C42" s="31" t="str">
        <f t="array" ref="C42">IF(B42="","",IFERROR(INDEX(Listas!$Q$5:$Q$20,MATCH(B42,Listas!$P$5:$P$20,0)),""))</f>
        <v/>
      </c>
      <c r="D42" s="44"/>
      <c r="E42" s="44"/>
      <c r="F42" s="44"/>
      <c r="G42" s="44"/>
      <c r="H42" s="44"/>
      <c r="I42" s="49"/>
      <c r="J42" s="47"/>
      <c r="K42" s="50"/>
      <c r="L42" s="43" t="str">
        <f t="shared" si="1"/>
        <v/>
      </c>
      <c r="M42" s="44"/>
    </row>
    <row r="43" ht="15.75" customHeight="1">
      <c r="A43" s="48"/>
      <c r="B43" s="44"/>
      <c r="C43" s="31" t="str">
        <f t="array" ref="C43">IF(B43="","",IFERROR(INDEX(Listas!$Q$5:$Q$20,MATCH(B43,Listas!$P$5:$P$20,0)),""))</f>
        <v/>
      </c>
      <c r="D43" s="44"/>
      <c r="E43" s="44"/>
      <c r="F43" s="44"/>
      <c r="G43" s="44"/>
      <c r="H43" s="44"/>
      <c r="I43" s="49"/>
      <c r="J43" s="47"/>
      <c r="K43" s="50"/>
      <c r="L43" s="43" t="str">
        <f t="shared" si="1"/>
        <v/>
      </c>
      <c r="M43" s="44"/>
    </row>
    <row r="44" ht="15.75" customHeight="1">
      <c r="A44" s="48"/>
      <c r="B44" s="44"/>
      <c r="C44" s="31" t="str">
        <f t="array" ref="C44">IF(B44="","",IFERROR(INDEX(Listas!$Q$5:$Q$20,MATCH(B44,Listas!$P$5:$P$20,0)),""))</f>
        <v/>
      </c>
      <c r="D44" s="44"/>
      <c r="E44" s="44"/>
      <c r="F44" s="44"/>
      <c r="G44" s="44"/>
      <c r="H44" s="44"/>
      <c r="I44" s="49"/>
      <c r="J44" s="47"/>
      <c r="K44" s="50"/>
      <c r="L44" s="43" t="str">
        <f t="shared" si="1"/>
        <v/>
      </c>
      <c r="M44" s="44"/>
    </row>
    <row r="45" ht="15.75" customHeight="1">
      <c r="A45" s="48"/>
      <c r="B45" s="44"/>
      <c r="C45" s="31" t="str">
        <f t="array" ref="C45">IF(B45="","",IFERROR(INDEX(Listas!$Q$5:$Q$20,MATCH(B45,Listas!$P$5:$P$20,0)),""))</f>
        <v/>
      </c>
      <c r="D45" s="44"/>
      <c r="E45" s="44"/>
      <c r="F45" s="44"/>
      <c r="G45" s="44"/>
      <c r="H45" s="44"/>
      <c r="I45" s="49"/>
      <c r="J45" s="47"/>
      <c r="K45" s="50"/>
      <c r="L45" s="43" t="str">
        <f t="shared" si="1"/>
        <v/>
      </c>
      <c r="M45" s="44"/>
    </row>
    <row r="46" ht="15.75" customHeight="1">
      <c r="A46" s="48"/>
      <c r="B46" s="44"/>
      <c r="C46" s="31" t="str">
        <f t="array" ref="C46">IF(B46="","",IFERROR(INDEX(Listas!$Q$5:$Q$20,MATCH(B46,Listas!$P$5:$P$20,0)),""))</f>
        <v/>
      </c>
      <c r="D46" s="44"/>
      <c r="E46" s="44"/>
      <c r="F46" s="44"/>
      <c r="G46" s="44"/>
      <c r="H46" s="44"/>
      <c r="I46" s="49"/>
      <c r="J46" s="47"/>
      <c r="K46" s="50"/>
      <c r="L46" s="43" t="str">
        <f t="shared" si="1"/>
        <v/>
      </c>
      <c r="M46" s="44"/>
    </row>
    <row r="47" ht="15.75" customHeight="1">
      <c r="A47" s="48"/>
      <c r="B47" s="44"/>
      <c r="C47" s="31" t="str">
        <f t="array" ref="C47">IF(B47="","",IFERROR(INDEX(Listas!$Q$5:$Q$20,MATCH(B47,Listas!$P$5:$P$20,0)),""))</f>
        <v/>
      </c>
      <c r="D47" s="44"/>
      <c r="E47" s="44"/>
      <c r="F47" s="44"/>
      <c r="G47" s="44"/>
      <c r="H47" s="44"/>
      <c r="I47" s="49"/>
      <c r="J47" s="47"/>
      <c r="K47" s="50"/>
      <c r="L47" s="43" t="str">
        <f t="shared" si="1"/>
        <v/>
      </c>
      <c r="M47" s="44"/>
    </row>
    <row r="48" ht="15.75" customHeight="1">
      <c r="A48" s="48"/>
      <c r="B48" s="44"/>
      <c r="C48" s="31" t="str">
        <f t="array" ref="C48">IF(B48="","",IFERROR(INDEX(Listas!$Q$5:$Q$20,MATCH(B48,Listas!$P$5:$P$20,0)),""))</f>
        <v/>
      </c>
      <c r="D48" s="44"/>
      <c r="E48" s="44"/>
      <c r="F48" s="44"/>
      <c r="G48" s="44"/>
      <c r="H48" s="44"/>
      <c r="I48" s="49"/>
      <c r="J48" s="47"/>
      <c r="K48" s="50"/>
      <c r="L48" s="43" t="str">
        <f t="shared" si="1"/>
        <v/>
      </c>
      <c r="M48" s="44"/>
    </row>
    <row r="49" ht="15.75" customHeight="1">
      <c r="A49" s="48"/>
      <c r="B49" s="44"/>
      <c r="C49" s="31" t="str">
        <f t="array" ref="C49">IF(B49="","",IFERROR(INDEX(Listas!$Q$5:$Q$20,MATCH(B49,Listas!$P$5:$P$20,0)),""))</f>
        <v/>
      </c>
      <c r="D49" s="44"/>
      <c r="E49" s="44"/>
      <c r="F49" s="44"/>
      <c r="G49" s="44"/>
      <c r="H49" s="44"/>
      <c r="I49" s="49"/>
      <c r="J49" s="47"/>
      <c r="K49" s="50"/>
      <c r="L49" s="43" t="str">
        <f t="shared" si="1"/>
        <v/>
      </c>
      <c r="M49" s="44"/>
    </row>
    <row r="50" ht="15.75" customHeight="1">
      <c r="A50" s="48"/>
      <c r="B50" s="44"/>
      <c r="C50" s="31" t="str">
        <f t="array" ref="C50">IF(B50="","",IFERROR(INDEX(Listas!$Q$5:$Q$20,MATCH(B50,Listas!$P$5:$P$20,0)),""))</f>
        <v/>
      </c>
      <c r="D50" s="44"/>
      <c r="E50" s="44"/>
      <c r="F50" s="44"/>
      <c r="G50" s="44"/>
      <c r="H50" s="44"/>
      <c r="I50" s="49"/>
      <c r="J50" s="47"/>
      <c r="K50" s="50"/>
      <c r="L50" s="43" t="str">
        <f t="shared" si="1"/>
        <v/>
      </c>
      <c r="M50" s="44"/>
    </row>
    <row r="51" ht="15.75" customHeight="1">
      <c r="A51" s="48"/>
      <c r="B51" s="44"/>
      <c r="C51" s="31" t="str">
        <f t="array" ref="C51">IF(B51="","",IFERROR(INDEX(Listas!$Q$5:$Q$20,MATCH(B51,Listas!$P$5:$P$20,0)),""))</f>
        <v/>
      </c>
      <c r="D51" s="44"/>
      <c r="E51" s="44"/>
      <c r="F51" s="44"/>
      <c r="G51" s="44"/>
      <c r="H51" s="44"/>
      <c r="I51" s="49"/>
      <c r="J51" s="47"/>
      <c r="K51" s="50"/>
      <c r="L51" s="43" t="str">
        <f t="shared" si="1"/>
        <v/>
      </c>
      <c r="M51" s="44"/>
    </row>
    <row r="52" ht="15.75" customHeight="1">
      <c r="A52" s="48"/>
      <c r="B52" s="44"/>
      <c r="C52" s="31" t="str">
        <f t="array" ref="C52">IF(B52="","",IFERROR(INDEX(Listas!$Q$5:$Q$20,MATCH(B52,Listas!$P$5:$P$20,0)),""))</f>
        <v/>
      </c>
      <c r="D52" s="44"/>
      <c r="E52" s="44"/>
      <c r="F52" s="44"/>
      <c r="G52" s="44"/>
      <c r="H52" s="44"/>
      <c r="I52" s="49"/>
      <c r="J52" s="47"/>
      <c r="K52" s="50"/>
      <c r="L52" s="43" t="str">
        <f t="shared" si="1"/>
        <v/>
      </c>
      <c r="M52" s="44"/>
    </row>
    <row r="53" ht="15.75" customHeight="1">
      <c r="A53" s="48"/>
      <c r="B53" s="44"/>
      <c r="C53" s="31" t="str">
        <f t="array" ref="C53">IF(B53="","",IFERROR(INDEX(Listas!$Q$5:$Q$20,MATCH(B53,Listas!$P$5:$P$20,0)),""))</f>
        <v/>
      </c>
      <c r="D53" s="44"/>
      <c r="E53" s="44"/>
      <c r="F53" s="44"/>
      <c r="G53" s="44"/>
      <c r="H53" s="44"/>
      <c r="I53" s="49"/>
      <c r="J53" s="47"/>
      <c r="K53" s="50"/>
      <c r="L53" s="43" t="str">
        <f t="shared" si="1"/>
        <v/>
      </c>
      <c r="M53" s="44"/>
    </row>
    <row r="54" ht="15.75" customHeight="1">
      <c r="A54" s="48"/>
      <c r="B54" s="44"/>
      <c r="C54" s="31" t="str">
        <f t="array" ref="C54">IF(B54="","",IFERROR(INDEX(Listas!$Q$5:$Q$20,MATCH(B54,Listas!$P$5:$P$20,0)),""))</f>
        <v/>
      </c>
      <c r="D54" s="44"/>
      <c r="E54" s="44"/>
      <c r="F54" s="44"/>
      <c r="G54" s="44"/>
      <c r="H54" s="44"/>
      <c r="I54" s="49"/>
      <c r="J54" s="47"/>
      <c r="K54" s="50"/>
      <c r="L54" s="43" t="str">
        <f t="shared" si="1"/>
        <v/>
      </c>
      <c r="M54" s="44"/>
    </row>
    <row r="55" ht="15.75" customHeight="1">
      <c r="A55" s="48"/>
      <c r="B55" s="44"/>
      <c r="C55" s="31" t="str">
        <f t="array" ref="C55">IF(B55="","",IFERROR(INDEX(Listas!$Q$5:$Q$20,MATCH(B55,Listas!$P$5:$P$20,0)),""))</f>
        <v/>
      </c>
      <c r="D55" s="44"/>
      <c r="E55" s="44"/>
      <c r="F55" s="44"/>
      <c r="G55" s="44"/>
      <c r="H55" s="44"/>
      <c r="I55" s="49"/>
      <c r="J55" s="47"/>
      <c r="K55" s="50"/>
      <c r="L55" s="43" t="str">
        <f t="shared" si="1"/>
        <v/>
      </c>
      <c r="M55" s="44"/>
    </row>
    <row r="56" ht="15.75" customHeight="1">
      <c r="A56" s="48"/>
      <c r="B56" s="44"/>
      <c r="C56" s="31" t="str">
        <f t="array" ref="C56">IF(B56="","",IFERROR(INDEX(Listas!$Q$5:$Q$20,MATCH(B56,Listas!$P$5:$P$20,0)),""))</f>
        <v/>
      </c>
      <c r="D56" s="44"/>
      <c r="E56" s="44"/>
      <c r="F56" s="44"/>
      <c r="G56" s="44"/>
      <c r="H56" s="44"/>
      <c r="I56" s="49"/>
      <c r="J56" s="47"/>
      <c r="K56" s="50"/>
      <c r="L56" s="43" t="str">
        <f t="shared" si="1"/>
        <v/>
      </c>
      <c r="M56" s="44"/>
    </row>
    <row r="57" ht="15.75" customHeight="1">
      <c r="A57" s="48"/>
      <c r="B57" s="44"/>
      <c r="C57" s="31" t="str">
        <f t="array" ref="C57">IF(B57="","",IFERROR(INDEX(Listas!$Q$5:$Q$20,MATCH(B57,Listas!$P$5:$P$20,0)),""))</f>
        <v/>
      </c>
      <c r="D57" s="44"/>
      <c r="E57" s="44"/>
      <c r="F57" s="44"/>
      <c r="G57" s="44"/>
      <c r="H57" s="44"/>
      <c r="I57" s="49"/>
      <c r="J57" s="47"/>
      <c r="K57" s="50"/>
      <c r="L57" s="43" t="str">
        <f t="shared" si="1"/>
        <v/>
      </c>
      <c r="M57" s="44"/>
    </row>
    <row r="58" ht="15.75" customHeight="1">
      <c r="A58" s="48"/>
      <c r="B58" s="44"/>
      <c r="C58" s="31" t="str">
        <f t="array" ref="C58">IF(B58="","",IFERROR(INDEX(Listas!$Q$5:$Q$20,MATCH(B58,Listas!$P$5:$P$20,0)),""))</f>
        <v/>
      </c>
      <c r="D58" s="44"/>
      <c r="E58" s="44"/>
      <c r="F58" s="44"/>
      <c r="G58" s="44"/>
      <c r="H58" s="44"/>
      <c r="I58" s="49"/>
      <c r="J58" s="47"/>
      <c r="K58" s="50"/>
      <c r="L58" s="43" t="str">
        <f t="shared" si="1"/>
        <v/>
      </c>
      <c r="M58" s="44"/>
    </row>
    <row r="59" ht="15.75" customHeight="1">
      <c r="A59" s="48"/>
      <c r="B59" s="44"/>
      <c r="C59" s="31" t="str">
        <f t="array" ref="C59">IF(B59="","",IFERROR(INDEX(Listas!$Q$5:$Q$20,MATCH(B59,Listas!$P$5:$P$20,0)),""))</f>
        <v/>
      </c>
      <c r="D59" s="44"/>
      <c r="E59" s="44"/>
      <c r="F59" s="44"/>
      <c r="G59" s="44"/>
      <c r="H59" s="44"/>
      <c r="I59" s="49"/>
      <c r="J59" s="47"/>
      <c r="K59" s="50"/>
      <c r="L59" s="43" t="str">
        <f t="shared" si="1"/>
        <v/>
      </c>
      <c r="M59" s="44"/>
    </row>
    <row r="60" ht="15.75" customHeight="1">
      <c r="A60" s="48"/>
      <c r="B60" s="44"/>
      <c r="C60" s="31" t="str">
        <f t="array" ref="C60">IF(B60="","",IFERROR(INDEX(Listas!$Q$5:$Q$20,MATCH(B60,Listas!$P$5:$P$20,0)),""))</f>
        <v/>
      </c>
      <c r="D60" s="44"/>
      <c r="E60" s="44"/>
      <c r="F60" s="44"/>
      <c r="G60" s="44"/>
      <c r="H60" s="44"/>
      <c r="I60" s="49"/>
      <c r="J60" s="47"/>
      <c r="K60" s="50"/>
      <c r="L60" s="43" t="str">
        <f t="shared" si="1"/>
        <v/>
      </c>
      <c r="M60" s="44"/>
    </row>
    <row r="61" ht="15.75" customHeight="1">
      <c r="A61" s="48"/>
      <c r="B61" s="44"/>
      <c r="C61" s="31" t="str">
        <f t="array" ref="C61">IF(B61="","",IFERROR(INDEX(Listas!$Q$5:$Q$20,MATCH(B61,Listas!$P$5:$P$20,0)),""))</f>
        <v/>
      </c>
      <c r="D61" s="44"/>
      <c r="E61" s="44"/>
      <c r="F61" s="44"/>
      <c r="G61" s="44"/>
      <c r="H61" s="44"/>
      <c r="I61" s="49"/>
      <c r="J61" s="47"/>
      <c r="K61" s="50"/>
      <c r="L61" s="43" t="str">
        <f t="shared" si="1"/>
        <v/>
      </c>
      <c r="M61" s="44"/>
    </row>
    <row r="62" ht="15.75" customHeight="1">
      <c r="A62" s="48"/>
      <c r="B62" s="44"/>
      <c r="C62" s="31" t="str">
        <f t="array" ref="C62">IF(B62="","",IFERROR(INDEX(Listas!$Q$5:$Q$20,MATCH(B62,Listas!$P$5:$P$20,0)),""))</f>
        <v/>
      </c>
      <c r="D62" s="44"/>
      <c r="E62" s="44"/>
      <c r="F62" s="44"/>
      <c r="G62" s="44"/>
      <c r="H62" s="44"/>
      <c r="I62" s="49"/>
      <c r="J62" s="47"/>
      <c r="K62" s="50"/>
      <c r="L62" s="43" t="str">
        <f t="shared" si="1"/>
        <v/>
      </c>
      <c r="M62" s="44"/>
    </row>
    <row r="63" ht="15.75" customHeight="1">
      <c r="A63" s="48"/>
      <c r="B63" s="44"/>
      <c r="C63" s="31" t="str">
        <f t="array" ref="C63">IF(B63="","",IFERROR(INDEX(Listas!$Q$5:$Q$20,MATCH(B63,Listas!$P$5:$P$20,0)),""))</f>
        <v/>
      </c>
      <c r="D63" s="44"/>
      <c r="E63" s="44"/>
      <c r="F63" s="44"/>
      <c r="G63" s="44"/>
      <c r="H63" s="44"/>
      <c r="I63" s="49"/>
      <c r="J63" s="47"/>
      <c r="K63" s="50"/>
      <c r="L63" s="43" t="str">
        <f t="shared" si="1"/>
        <v/>
      </c>
      <c r="M63" s="44"/>
    </row>
    <row r="64" ht="15.75" customHeight="1">
      <c r="A64" s="48"/>
      <c r="B64" s="44"/>
      <c r="C64" s="31" t="str">
        <f t="array" ref="C64">IF(B64="","",IFERROR(INDEX(Listas!$Q$5:$Q$20,MATCH(B64,Listas!$P$5:$P$20,0)),""))</f>
        <v/>
      </c>
      <c r="D64" s="44"/>
      <c r="E64" s="44"/>
      <c r="F64" s="44"/>
      <c r="G64" s="44"/>
      <c r="H64" s="44"/>
      <c r="I64" s="49"/>
      <c r="J64" s="47"/>
      <c r="K64" s="50"/>
      <c r="L64" s="43" t="str">
        <f t="shared" si="1"/>
        <v/>
      </c>
      <c r="M64" s="44"/>
    </row>
    <row r="65" ht="15.75" customHeight="1">
      <c r="A65" s="48"/>
      <c r="B65" s="44"/>
      <c r="C65" s="31" t="str">
        <f t="array" ref="C65">IF(B65="","",IFERROR(INDEX(Listas!$Q$5:$Q$20,MATCH(B65,Listas!$P$5:$P$20,0)),""))</f>
        <v/>
      </c>
      <c r="D65" s="44"/>
      <c r="E65" s="44"/>
      <c r="F65" s="44"/>
      <c r="G65" s="44"/>
      <c r="H65" s="44"/>
      <c r="I65" s="49"/>
      <c r="J65" s="47"/>
      <c r="K65" s="50"/>
      <c r="L65" s="43" t="str">
        <f t="shared" si="1"/>
        <v/>
      </c>
      <c r="M65" s="44"/>
    </row>
    <row r="66" ht="15.75" customHeight="1">
      <c r="A66" s="48"/>
      <c r="B66" s="44"/>
      <c r="C66" s="31" t="str">
        <f t="array" ref="C66">IF(B66="","",IFERROR(INDEX(Listas!$Q$5:$Q$20,MATCH(B66,Listas!$P$5:$P$20,0)),""))</f>
        <v/>
      </c>
      <c r="D66" s="44"/>
      <c r="E66" s="44"/>
      <c r="F66" s="44"/>
      <c r="G66" s="44"/>
      <c r="H66" s="44"/>
      <c r="I66" s="49"/>
      <c r="J66" s="47"/>
      <c r="K66" s="50"/>
      <c r="L66" s="43" t="str">
        <f t="shared" si="1"/>
        <v/>
      </c>
      <c r="M66" s="44"/>
    </row>
    <row r="67" ht="15.75" customHeight="1">
      <c r="A67" s="48"/>
      <c r="B67" s="44"/>
      <c r="C67" s="31" t="str">
        <f t="array" ref="C67">IF(B67="","",IFERROR(INDEX(Listas!$Q$5:$Q$20,MATCH(B67,Listas!$P$5:$P$20,0)),""))</f>
        <v/>
      </c>
      <c r="D67" s="44"/>
      <c r="E67" s="44"/>
      <c r="F67" s="44"/>
      <c r="G67" s="44"/>
      <c r="H67" s="44"/>
      <c r="I67" s="49"/>
      <c r="J67" s="47"/>
      <c r="K67" s="50"/>
      <c r="L67" s="43" t="str">
        <f t="shared" si="1"/>
        <v/>
      </c>
      <c r="M67" s="44"/>
    </row>
    <row r="68" ht="15.75" customHeight="1">
      <c r="A68" s="48"/>
      <c r="B68" s="44"/>
      <c r="C68" s="31" t="str">
        <f t="array" ref="C68">IF(B68="","",IFERROR(INDEX(Listas!$Q$5:$Q$20,MATCH(B68,Listas!$P$5:$P$20,0)),""))</f>
        <v/>
      </c>
      <c r="D68" s="44"/>
      <c r="E68" s="44"/>
      <c r="F68" s="44"/>
      <c r="G68" s="44"/>
      <c r="H68" s="44"/>
      <c r="I68" s="49"/>
      <c r="J68" s="47"/>
      <c r="K68" s="50"/>
      <c r="L68" s="43" t="str">
        <f t="shared" si="1"/>
        <v/>
      </c>
      <c r="M68" s="44"/>
    </row>
    <row r="69" ht="15.75" customHeight="1">
      <c r="A69" s="48"/>
      <c r="B69" s="44"/>
      <c r="C69" s="31" t="str">
        <f t="array" ref="C69">IF(B69="","",IFERROR(INDEX(Listas!$Q$5:$Q$20,MATCH(B69,Listas!$P$5:$P$20,0)),""))</f>
        <v/>
      </c>
      <c r="D69" s="44"/>
      <c r="E69" s="44"/>
      <c r="F69" s="44"/>
      <c r="G69" s="44"/>
      <c r="H69" s="44"/>
      <c r="I69" s="49"/>
      <c r="J69" s="47"/>
      <c r="K69" s="50"/>
      <c r="L69" s="43" t="str">
        <f t="shared" si="1"/>
        <v/>
      </c>
      <c r="M69" s="44"/>
    </row>
    <row r="70" ht="15.75" customHeight="1">
      <c r="A70" s="48"/>
      <c r="B70" s="44"/>
      <c r="C70" s="31" t="str">
        <f t="array" ref="C70">IF(B70="","",IFERROR(INDEX(Listas!$Q$5:$Q$20,MATCH(B70,Listas!$P$5:$P$20,0)),""))</f>
        <v/>
      </c>
      <c r="D70" s="44"/>
      <c r="E70" s="44"/>
      <c r="F70" s="44"/>
      <c r="G70" s="44"/>
      <c r="H70" s="44"/>
      <c r="I70" s="49"/>
      <c r="J70" s="47"/>
      <c r="K70" s="50"/>
      <c r="L70" s="43" t="str">
        <f t="shared" si="1"/>
        <v/>
      </c>
      <c r="M70" s="44"/>
    </row>
    <row r="71" ht="15.75" customHeight="1">
      <c r="A71" s="48"/>
      <c r="B71" s="44"/>
      <c r="C71" s="31" t="str">
        <f t="array" ref="C71">IF(B71="","",IFERROR(INDEX(Listas!$Q$5:$Q$20,MATCH(B71,Listas!$P$5:$P$20,0)),""))</f>
        <v/>
      </c>
      <c r="D71" s="44"/>
      <c r="E71" s="44"/>
      <c r="F71" s="44"/>
      <c r="G71" s="44"/>
      <c r="H71" s="44"/>
      <c r="I71" s="49"/>
      <c r="J71" s="47"/>
      <c r="K71" s="50"/>
      <c r="L71" s="43" t="str">
        <f t="shared" si="1"/>
        <v/>
      </c>
      <c r="M71" s="44"/>
    </row>
    <row r="72" ht="15.75" customHeight="1">
      <c r="A72" s="48"/>
      <c r="B72" s="44"/>
      <c r="C72" s="31" t="str">
        <f t="array" ref="C72">IF(B72="","",IFERROR(INDEX(Listas!$Q$5:$Q$20,MATCH(B72,Listas!$P$5:$P$20,0)),""))</f>
        <v/>
      </c>
      <c r="D72" s="44"/>
      <c r="E72" s="44"/>
      <c r="F72" s="44"/>
      <c r="G72" s="44"/>
      <c r="H72" s="44"/>
      <c r="I72" s="49"/>
      <c r="J72" s="47"/>
      <c r="K72" s="50"/>
      <c r="L72" s="43" t="str">
        <f t="shared" si="1"/>
        <v/>
      </c>
      <c r="M72" s="44"/>
    </row>
    <row r="73" ht="15.75" customHeight="1">
      <c r="A73" s="48"/>
      <c r="B73" s="44"/>
      <c r="C73" s="31" t="str">
        <f t="array" ref="C73">IF(B73="","",IFERROR(INDEX(Listas!$Q$5:$Q$20,MATCH(B73,Listas!$P$5:$P$20,0)),""))</f>
        <v/>
      </c>
      <c r="D73" s="44"/>
      <c r="E73" s="44"/>
      <c r="F73" s="44"/>
      <c r="G73" s="44"/>
      <c r="H73" s="44"/>
      <c r="I73" s="49"/>
      <c r="J73" s="47"/>
      <c r="K73" s="50"/>
      <c r="L73" s="43" t="str">
        <f t="shared" si="1"/>
        <v/>
      </c>
      <c r="M73" s="44"/>
    </row>
    <row r="74" ht="15.75" customHeight="1">
      <c r="A74" s="48"/>
      <c r="B74" s="44"/>
      <c r="C74" s="31" t="str">
        <f t="array" ref="C74">IF(B74="","",IFERROR(INDEX(Listas!$Q$5:$Q$20,MATCH(B74,Listas!$P$5:$P$20,0)),""))</f>
        <v/>
      </c>
      <c r="D74" s="44"/>
      <c r="E74" s="44"/>
      <c r="F74" s="44"/>
      <c r="G74" s="44"/>
      <c r="H74" s="44"/>
      <c r="I74" s="49"/>
      <c r="J74" s="47"/>
      <c r="K74" s="50"/>
      <c r="L74" s="43" t="str">
        <f t="shared" si="1"/>
        <v/>
      </c>
      <c r="M74" s="44"/>
    </row>
    <row r="75" ht="15.75" customHeight="1">
      <c r="A75" s="48"/>
      <c r="B75" s="44"/>
      <c r="C75" s="31" t="str">
        <f t="array" ref="C75">IF(B75="","",IFERROR(INDEX(Listas!$Q$5:$Q$20,MATCH(B75,Listas!$P$5:$P$20,0)),""))</f>
        <v/>
      </c>
      <c r="D75" s="44"/>
      <c r="E75" s="44"/>
      <c r="F75" s="44"/>
      <c r="G75" s="44"/>
      <c r="H75" s="44"/>
      <c r="I75" s="49"/>
      <c r="J75" s="47"/>
      <c r="K75" s="50"/>
      <c r="L75" s="43" t="str">
        <f t="shared" si="1"/>
        <v/>
      </c>
      <c r="M75" s="44"/>
    </row>
    <row r="76" ht="15.75" customHeight="1">
      <c r="A76" s="48"/>
      <c r="B76" s="44"/>
      <c r="C76" s="31" t="str">
        <f t="array" ref="C76">IF(B76="","",IFERROR(INDEX(Listas!$Q$5:$Q$20,MATCH(B76,Listas!$P$5:$P$20,0)),""))</f>
        <v/>
      </c>
      <c r="D76" s="44"/>
      <c r="E76" s="44"/>
      <c r="F76" s="44"/>
      <c r="G76" s="44"/>
      <c r="H76" s="44"/>
      <c r="I76" s="49"/>
      <c r="J76" s="47"/>
      <c r="K76" s="50"/>
      <c r="L76" s="43" t="str">
        <f t="shared" si="1"/>
        <v/>
      </c>
      <c r="M76" s="44"/>
    </row>
    <row r="77" ht="15.75" customHeight="1">
      <c r="A77" s="48"/>
      <c r="B77" s="44"/>
      <c r="C77" s="31" t="str">
        <f t="array" ref="C77">IF(B77="","",IFERROR(INDEX(Listas!$Q$5:$Q$20,MATCH(B77,Listas!$P$5:$P$20,0)),""))</f>
        <v/>
      </c>
      <c r="D77" s="44"/>
      <c r="E77" s="44"/>
      <c r="F77" s="44"/>
      <c r="G77" s="44"/>
      <c r="H77" s="44"/>
      <c r="I77" s="49"/>
      <c r="J77" s="47"/>
      <c r="K77" s="50"/>
      <c r="L77" s="43" t="str">
        <f t="shared" si="1"/>
        <v/>
      </c>
      <c r="M77" s="44"/>
    </row>
    <row r="78" ht="15.75" customHeight="1">
      <c r="A78" s="48"/>
      <c r="B78" s="44"/>
      <c r="C78" s="31" t="str">
        <f t="array" ref="C78">IF(B78="","",IFERROR(INDEX(Listas!$Q$5:$Q$20,MATCH(B78,Listas!$P$5:$P$20,0)),""))</f>
        <v/>
      </c>
      <c r="D78" s="44"/>
      <c r="E78" s="44"/>
      <c r="F78" s="44"/>
      <c r="G78" s="44"/>
      <c r="H78" s="44"/>
      <c r="I78" s="49"/>
      <c r="J78" s="47"/>
      <c r="K78" s="50"/>
      <c r="L78" s="43" t="str">
        <f t="shared" si="1"/>
        <v/>
      </c>
      <c r="M78" s="44"/>
    </row>
    <row r="79" ht="15.75" customHeight="1">
      <c r="A79" s="48"/>
      <c r="B79" s="44"/>
      <c r="C79" s="31" t="str">
        <f t="array" ref="C79">IF(B79="","",IFERROR(INDEX(Listas!$Q$5:$Q$20,MATCH(B79,Listas!$P$5:$P$20,0)),""))</f>
        <v/>
      </c>
      <c r="D79" s="44"/>
      <c r="E79" s="44"/>
      <c r="F79" s="44"/>
      <c r="G79" s="44"/>
      <c r="H79" s="44"/>
      <c r="I79" s="49"/>
      <c r="J79" s="47"/>
      <c r="K79" s="50"/>
      <c r="L79" s="43" t="str">
        <f t="shared" si="1"/>
        <v/>
      </c>
      <c r="M79" s="44"/>
    </row>
    <row r="80" ht="15.75" customHeight="1">
      <c r="A80" s="48"/>
      <c r="B80" s="44"/>
      <c r="C80" s="31" t="str">
        <f t="array" ref="C80">IF(B80="","",IFERROR(INDEX(Listas!$Q$5:$Q$20,MATCH(B80,Listas!$P$5:$P$20,0)),""))</f>
        <v/>
      </c>
      <c r="D80" s="44"/>
      <c r="E80" s="44"/>
      <c r="F80" s="44"/>
      <c r="G80" s="44"/>
      <c r="H80" s="44"/>
      <c r="I80" s="49"/>
      <c r="J80" s="47"/>
      <c r="K80" s="50"/>
      <c r="L80" s="43" t="str">
        <f t="shared" si="1"/>
        <v/>
      </c>
      <c r="M80" s="44"/>
    </row>
    <row r="81" ht="15.75" customHeight="1">
      <c r="A81" s="48"/>
      <c r="B81" s="44"/>
      <c r="C81" s="31" t="str">
        <f t="array" ref="C81">IF(B81="","",IFERROR(INDEX(Listas!$Q$5:$Q$20,MATCH(B81,Listas!$P$5:$P$20,0)),""))</f>
        <v/>
      </c>
      <c r="D81" s="44"/>
      <c r="E81" s="44"/>
      <c r="F81" s="44"/>
      <c r="G81" s="44"/>
      <c r="H81" s="44"/>
      <c r="I81" s="49"/>
      <c r="J81" s="47"/>
      <c r="K81" s="50"/>
      <c r="L81" s="43" t="str">
        <f t="shared" si="1"/>
        <v/>
      </c>
      <c r="M81" s="44"/>
    </row>
    <row r="82" ht="15.75" customHeight="1">
      <c r="A82" s="48"/>
      <c r="B82" s="44"/>
      <c r="C82" s="31" t="str">
        <f t="array" ref="C82">IF(B82="","",IFERROR(INDEX(Listas!$Q$5:$Q$20,MATCH(B82,Listas!$P$5:$P$20,0)),""))</f>
        <v/>
      </c>
      <c r="D82" s="44"/>
      <c r="E82" s="44"/>
      <c r="F82" s="44"/>
      <c r="G82" s="44"/>
      <c r="H82" s="44"/>
      <c r="I82" s="49"/>
      <c r="J82" s="47"/>
      <c r="K82" s="50"/>
      <c r="L82" s="43" t="str">
        <f t="shared" si="1"/>
        <v/>
      </c>
      <c r="M82" s="44"/>
    </row>
    <row r="83" ht="15.75" customHeight="1">
      <c r="A83" s="48"/>
      <c r="B83" s="44"/>
      <c r="C83" s="31" t="str">
        <f t="array" ref="C83">IF(B83="","",IFERROR(INDEX(Listas!$Q$5:$Q$20,MATCH(B83,Listas!$P$5:$P$20,0)),""))</f>
        <v/>
      </c>
      <c r="D83" s="44"/>
      <c r="E83" s="44"/>
      <c r="F83" s="44"/>
      <c r="G83" s="44"/>
      <c r="H83" s="44"/>
      <c r="I83" s="49"/>
      <c r="J83" s="47"/>
      <c r="K83" s="50"/>
      <c r="L83" s="43" t="str">
        <f t="shared" si="1"/>
        <v/>
      </c>
      <c r="M83" s="44"/>
    </row>
    <row r="84" ht="15.75" customHeight="1">
      <c r="A84" s="48"/>
      <c r="B84" s="44"/>
      <c r="C84" s="31" t="str">
        <f t="array" ref="C84">IF(B84="","",IFERROR(INDEX(Listas!$Q$5:$Q$20,MATCH(B84,Listas!$P$5:$P$20,0)),""))</f>
        <v/>
      </c>
      <c r="D84" s="44"/>
      <c r="E84" s="44"/>
      <c r="F84" s="44"/>
      <c r="G84" s="44"/>
      <c r="H84" s="44"/>
      <c r="I84" s="49"/>
      <c r="J84" s="47"/>
      <c r="K84" s="50"/>
      <c r="L84" s="43" t="str">
        <f t="shared" si="1"/>
        <v/>
      </c>
      <c r="M84" s="44"/>
    </row>
    <row r="85" ht="15.75" customHeight="1">
      <c r="A85" s="48"/>
      <c r="B85" s="44"/>
      <c r="C85" s="31" t="str">
        <f t="array" ref="C85">IF(B85="","",IFERROR(INDEX(Listas!$Q$5:$Q$20,MATCH(B85,Listas!$P$5:$P$20,0)),""))</f>
        <v/>
      </c>
      <c r="D85" s="44"/>
      <c r="E85" s="44"/>
      <c r="F85" s="44"/>
      <c r="G85" s="44"/>
      <c r="H85" s="44"/>
      <c r="I85" s="49"/>
      <c r="J85" s="47"/>
      <c r="K85" s="50"/>
      <c r="L85" s="43" t="str">
        <f t="shared" si="1"/>
        <v/>
      </c>
      <c r="M85" s="44"/>
    </row>
    <row r="86" ht="15.75" customHeight="1">
      <c r="A86" s="48"/>
      <c r="B86" s="44"/>
      <c r="C86" s="31" t="str">
        <f t="array" ref="C86">IF(B86="","",IFERROR(INDEX(Listas!$Q$5:$Q$20,MATCH(B86,Listas!$P$5:$P$20,0)),""))</f>
        <v/>
      </c>
      <c r="D86" s="44"/>
      <c r="E86" s="44"/>
      <c r="F86" s="44"/>
      <c r="G86" s="44"/>
      <c r="H86" s="44"/>
      <c r="I86" s="49"/>
      <c r="J86" s="47"/>
      <c r="K86" s="50"/>
      <c r="L86" s="43" t="str">
        <f t="shared" si="1"/>
        <v/>
      </c>
      <c r="M86" s="44"/>
    </row>
    <row r="87" ht="15.75" customHeight="1">
      <c r="A87" s="48"/>
      <c r="B87" s="44"/>
      <c r="C87" s="31" t="str">
        <f t="array" ref="C87">IF(B87="","",IFERROR(INDEX(Listas!$Q$5:$Q$20,MATCH(B87,Listas!$P$5:$P$20,0)),""))</f>
        <v/>
      </c>
      <c r="D87" s="44"/>
      <c r="E87" s="44"/>
      <c r="F87" s="44"/>
      <c r="G87" s="44"/>
      <c r="H87" s="44"/>
      <c r="I87" s="49"/>
      <c r="J87" s="47"/>
      <c r="K87" s="50"/>
      <c r="L87" s="43" t="str">
        <f t="shared" si="1"/>
        <v/>
      </c>
      <c r="M87" s="44"/>
    </row>
    <row r="88" ht="15.75" customHeight="1">
      <c r="A88" s="48"/>
      <c r="B88" s="44"/>
      <c r="C88" s="31" t="str">
        <f t="array" ref="C88">IF(B88="","",IFERROR(INDEX(Listas!$Q$5:$Q$20,MATCH(B88,Listas!$P$5:$P$20,0)),""))</f>
        <v/>
      </c>
      <c r="D88" s="44"/>
      <c r="E88" s="44"/>
      <c r="F88" s="44"/>
      <c r="G88" s="44"/>
      <c r="H88" s="44"/>
      <c r="I88" s="49"/>
      <c r="J88" s="47"/>
      <c r="K88" s="50"/>
      <c r="L88" s="43" t="str">
        <f t="shared" si="1"/>
        <v/>
      </c>
      <c r="M88" s="44"/>
    </row>
    <row r="89" ht="15.75" customHeight="1">
      <c r="A89" s="48"/>
      <c r="B89" s="44"/>
      <c r="C89" s="31" t="str">
        <f t="array" ref="C89">IF(B89="","",IFERROR(INDEX(Listas!$Q$5:$Q$20,MATCH(B89,Listas!$P$5:$P$20,0)),""))</f>
        <v/>
      </c>
      <c r="D89" s="44"/>
      <c r="E89" s="44"/>
      <c r="F89" s="44"/>
      <c r="G89" s="44"/>
      <c r="H89" s="44"/>
      <c r="I89" s="49"/>
      <c r="J89" s="47"/>
      <c r="K89" s="50"/>
      <c r="L89" s="43" t="str">
        <f t="shared" si="1"/>
        <v/>
      </c>
      <c r="M89" s="44"/>
    </row>
    <row r="90" ht="15.75" customHeight="1">
      <c r="A90" s="48"/>
      <c r="B90" s="44"/>
      <c r="C90" s="31" t="str">
        <f t="array" ref="C90">IF(B90="","",IFERROR(INDEX(Listas!$Q$5:$Q$20,MATCH(B90,Listas!$P$5:$P$20,0)),""))</f>
        <v/>
      </c>
      <c r="D90" s="44"/>
      <c r="E90" s="44"/>
      <c r="F90" s="44"/>
      <c r="G90" s="44"/>
      <c r="H90" s="44"/>
      <c r="I90" s="49"/>
      <c r="J90" s="47"/>
      <c r="K90" s="50"/>
      <c r="L90" s="43" t="str">
        <f t="shared" si="1"/>
        <v/>
      </c>
      <c r="M90" s="44"/>
    </row>
    <row r="91" ht="15.75" customHeight="1">
      <c r="A91" s="48"/>
      <c r="B91" s="44"/>
      <c r="C91" s="31" t="str">
        <f t="array" ref="C91">IF(B91="","",IFERROR(INDEX(Listas!$Q$5:$Q$20,MATCH(B91,Listas!$P$5:$P$20,0)),""))</f>
        <v/>
      </c>
      <c r="D91" s="44"/>
      <c r="E91" s="44"/>
      <c r="F91" s="44"/>
      <c r="G91" s="44"/>
      <c r="H91" s="44"/>
      <c r="I91" s="49"/>
      <c r="J91" s="47"/>
      <c r="K91" s="50"/>
      <c r="L91" s="43" t="str">
        <f t="shared" si="1"/>
        <v/>
      </c>
      <c r="M91" s="44"/>
    </row>
    <row r="92" ht="15.75" customHeight="1">
      <c r="A92" s="48"/>
      <c r="B92" s="44"/>
      <c r="C92" s="31" t="str">
        <f t="array" ref="C92">IF(B92="","",IFERROR(INDEX(Listas!$Q$5:$Q$20,MATCH(B92,Listas!$P$5:$P$20,0)),""))</f>
        <v/>
      </c>
      <c r="D92" s="44"/>
      <c r="E92" s="44"/>
      <c r="F92" s="44"/>
      <c r="G92" s="44"/>
      <c r="H92" s="44"/>
      <c r="I92" s="49"/>
      <c r="J92" s="47"/>
      <c r="K92" s="50"/>
      <c r="L92" s="43" t="str">
        <f t="shared" si="1"/>
        <v/>
      </c>
      <c r="M92" s="44"/>
    </row>
    <row r="93" ht="15.75" customHeight="1">
      <c r="A93" s="48"/>
      <c r="B93" s="44"/>
      <c r="C93" s="31" t="str">
        <f t="array" ref="C93">IF(B93="","",IFERROR(INDEX(Listas!$Q$5:$Q$20,MATCH(B93,Listas!$P$5:$P$20,0)),""))</f>
        <v/>
      </c>
      <c r="D93" s="44"/>
      <c r="E93" s="44"/>
      <c r="F93" s="44"/>
      <c r="G93" s="44"/>
      <c r="H93" s="44"/>
      <c r="I93" s="49"/>
      <c r="J93" s="47"/>
      <c r="K93" s="50"/>
      <c r="L93" s="43" t="str">
        <f t="shared" si="1"/>
        <v/>
      </c>
      <c r="M93" s="44"/>
    </row>
    <row r="94" ht="15.75" customHeight="1">
      <c r="A94" s="48"/>
      <c r="B94" s="44"/>
      <c r="C94" s="31" t="str">
        <f t="array" ref="C94">IF(B94="","",IFERROR(INDEX(Listas!$Q$5:$Q$20,MATCH(B94,Listas!$P$5:$P$20,0)),""))</f>
        <v/>
      </c>
      <c r="D94" s="44"/>
      <c r="E94" s="44"/>
      <c r="F94" s="44"/>
      <c r="G94" s="44"/>
      <c r="H94" s="44"/>
      <c r="I94" s="49"/>
      <c r="J94" s="47"/>
      <c r="K94" s="50"/>
      <c r="L94" s="43" t="str">
        <f t="shared" si="1"/>
        <v/>
      </c>
      <c r="M94" s="44"/>
    </row>
    <row r="95" ht="15.75" customHeight="1">
      <c r="A95" s="48"/>
      <c r="B95" s="44"/>
      <c r="C95" s="31" t="str">
        <f t="array" ref="C95">IF(B95="","",IFERROR(INDEX(Listas!$Q$5:$Q$20,MATCH(B95,Listas!$P$5:$P$20,0)),""))</f>
        <v/>
      </c>
      <c r="D95" s="44"/>
      <c r="E95" s="44"/>
      <c r="F95" s="44"/>
      <c r="G95" s="44"/>
      <c r="H95" s="44"/>
      <c r="I95" s="49"/>
      <c r="J95" s="47"/>
      <c r="K95" s="50"/>
      <c r="L95" s="43" t="str">
        <f t="shared" si="1"/>
        <v/>
      </c>
      <c r="M95" s="44"/>
    </row>
    <row r="96" ht="15.75" customHeight="1">
      <c r="A96" s="48"/>
      <c r="B96" s="44"/>
      <c r="C96" s="31" t="str">
        <f t="array" ref="C96">IF(B96="","",IFERROR(INDEX(Listas!$Q$5:$Q$20,MATCH(B96,Listas!$P$5:$P$20,0)),""))</f>
        <v/>
      </c>
      <c r="D96" s="44"/>
      <c r="E96" s="44"/>
      <c r="F96" s="44"/>
      <c r="G96" s="44"/>
      <c r="H96" s="44"/>
      <c r="I96" s="49"/>
      <c r="J96" s="47"/>
      <c r="K96" s="50"/>
      <c r="L96" s="43" t="str">
        <f t="shared" si="1"/>
        <v/>
      </c>
      <c r="M96" s="44"/>
    </row>
    <row r="97" ht="15.75" customHeight="1">
      <c r="A97" s="48"/>
      <c r="B97" s="44"/>
      <c r="C97" s="31" t="str">
        <f t="array" ref="C97">IF(B97="","",IFERROR(INDEX(Listas!$Q$5:$Q$20,MATCH(B97,Listas!$P$5:$P$20,0)),""))</f>
        <v/>
      </c>
      <c r="D97" s="44"/>
      <c r="E97" s="44"/>
      <c r="F97" s="44"/>
      <c r="G97" s="44"/>
      <c r="H97" s="44"/>
      <c r="I97" s="49"/>
      <c r="J97" s="47"/>
      <c r="K97" s="50"/>
      <c r="L97" s="43" t="str">
        <f t="shared" si="1"/>
        <v/>
      </c>
      <c r="M97" s="44"/>
    </row>
    <row r="98" ht="15.75" customHeight="1">
      <c r="A98" s="48"/>
      <c r="B98" s="44"/>
      <c r="C98" s="31" t="str">
        <f t="array" ref="C98">IF(B98="","",IFERROR(INDEX(Listas!$Q$5:$Q$20,MATCH(B98,Listas!$P$5:$P$20,0)),""))</f>
        <v/>
      </c>
      <c r="D98" s="44"/>
      <c r="E98" s="44"/>
      <c r="F98" s="44"/>
      <c r="G98" s="44"/>
      <c r="H98" s="44"/>
      <c r="I98" s="49"/>
      <c r="J98" s="47"/>
      <c r="K98" s="50"/>
      <c r="L98" s="43" t="str">
        <f t="shared" si="1"/>
        <v/>
      </c>
      <c r="M98" s="44"/>
    </row>
    <row r="99" ht="15.75" customHeight="1">
      <c r="A99" s="48"/>
      <c r="B99" s="44"/>
      <c r="C99" s="31" t="str">
        <f t="array" ref="C99">IF(B99="","",IFERROR(INDEX(Listas!$Q$5:$Q$20,MATCH(B99,Listas!$P$5:$P$20,0)),""))</f>
        <v/>
      </c>
      <c r="D99" s="44"/>
      <c r="E99" s="44"/>
      <c r="F99" s="44"/>
      <c r="G99" s="44"/>
      <c r="H99" s="44"/>
      <c r="I99" s="49"/>
      <c r="J99" s="47"/>
      <c r="K99" s="50"/>
      <c r="L99" s="43" t="str">
        <f t="shared" si="1"/>
        <v/>
      </c>
      <c r="M99" s="44"/>
    </row>
    <row r="100" ht="15.75" customHeight="1">
      <c r="A100" s="48"/>
      <c r="B100" s="44"/>
      <c r="C100" s="31" t="str">
        <f t="array" ref="C100">IF(B100="","",IFERROR(INDEX(Listas!$Q$5:$Q$20,MATCH(B100,Listas!$P$5:$P$20,0)),""))</f>
        <v/>
      </c>
      <c r="D100" s="44"/>
      <c r="E100" s="44"/>
      <c r="F100" s="44"/>
      <c r="G100" s="44"/>
      <c r="H100" s="44"/>
      <c r="I100" s="49"/>
      <c r="J100" s="47"/>
      <c r="K100" s="50"/>
      <c r="L100" s="43" t="str">
        <f t="shared" si="1"/>
        <v/>
      </c>
      <c r="M100" s="44"/>
    </row>
    <row r="101" ht="15.75" customHeight="1">
      <c r="A101" s="48"/>
      <c r="B101" s="44"/>
      <c r="C101" s="31" t="str">
        <f t="array" ref="C101">IF(B101="","",IFERROR(INDEX(Listas!$Q$5:$Q$20,MATCH(B101,Listas!$P$5:$P$20,0)),""))</f>
        <v/>
      </c>
      <c r="D101" s="44"/>
      <c r="E101" s="44"/>
      <c r="F101" s="44"/>
      <c r="G101" s="44"/>
      <c r="H101" s="44"/>
      <c r="I101" s="49"/>
      <c r="J101" s="47"/>
      <c r="K101" s="50"/>
      <c r="L101" s="43" t="str">
        <f t="shared" si="1"/>
        <v/>
      </c>
      <c r="M101" s="44"/>
    </row>
    <row r="102" ht="15.75" customHeight="1">
      <c r="A102" s="48"/>
      <c r="B102" s="44"/>
      <c r="C102" s="31" t="str">
        <f t="array" ref="C102">IF(B102="","",IFERROR(INDEX(Listas!$Q$5:$Q$20,MATCH(B102,Listas!$P$5:$P$20,0)),""))</f>
        <v/>
      </c>
      <c r="D102" s="44"/>
      <c r="E102" s="44"/>
      <c r="F102" s="44"/>
      <c r="G102" s="44"/>
      <c r="H102" s="44"/>
      <c r="I102" s="49"/>
      <c r="J102" s="47"/>
      <c r="K102" s="50"/>
      <c r="L102" s="43" t="str">
        <f t="shared" si="1"/>
        <v/>
      </c>
      <c r="M102" s="44"/>
    </row>
    <row r="103" ht="15.75" customHeight="1">
      <c r="A103" s="48"/>
      <c r="B103" s="44"/>
      <c r="C103" s="31" t="str">
        <f t="array" ref="C103">IF(B103="","",IFERROR(INDEX(Listas!$Q$5:$Q$20,MATCH(B103,Listas!$P$5:$P$20,0)),""))</f>
        <v/>
      </c>
      <c r="D103" s="44"/>
      <c r="E103" s="44"/>
      <c r="F103" s="44"/>
      <c r="G103" s="44"/>
      <c r="H103" s="44"/>
      <c r="I103" s="49"/>
      <c r="J103" s="47"/>
      <c r="K103" s="50"/>
      <c r="L103" s="43" t="str">
        <f t="shared" si="1"/>
        <v/>
      </c>
      <c r="M103" s="44"/>
    </row>
    <row r="104" ht="15.75" customHeight="1">
      <c r="A104" s="48"/>
      <c r="B104" s="44"/>
      <c r="C104" s="31" t="str">
        <f t="array" ref="C104">IF(B104="","",IFERROR(INDEX(Listas!$Q$5:$Q$20,MATCH(B104,Listas!$P$5:$P$20,0)),""))</f>
        <v/>
      </c>
      <c r="D104" s="44"/>
      <c r="E104" s="44"/>
      <c r="F104" s="44"/>
      <c r="G104" s="44"/>
      <c r="H104" s="44"/>
      <c r="I104" s="49"/>
      <c r="J104" s="47"/>
      <c r="K104" s="50"/>
      <c r="L104" s="43" t="str">
        <f t="shared" si="1"/>
        <v/>
      </c>
      <c r="M104" s="44"/>
    </row>
    <row r="105" ht="15.75" customHeight="1">
      <c r="A105" s="48"/>
      <c r="B105" s="44"/>
      <c r="C105" s="31" t="str">
        <f t="array" ref="C105">IF(B105="","",IFERROR(INDEX(Listas!$Q$5:$Q$20,MATCH(B105,Listas!$P$5:$P$20,0)),""))</f>
        <v/>
      </c>
      <c r="D105" s="44"/>
      <c r="E105" s="44"/>
      <c r="F105" s="44"/>
      <c r="G105" s="44"/>
      <c r="H105" s="44"/>
      <c r="I105" s="49"/>
      <c r="J105" s="47"/>
      <c r="K105" s="50"/>
      <c r="L105" s="43" t="str">
        <f t="shared" si="1"/>
        <v/>
      </c>
      <c r="M105" s="44"/>
    </row>
    <row r="106" ht="15.75" customHeight="1">
      <c r="A106" s="48"/>
      <c r="B106" s="44"/>
      <c r="C106" s="31" t="str">
        <f t="array" ref="C106">IF(B106="","",IFERROR(INDEX(Listas!$Q$5:$Q$20,MATCH(B106,Listas!$P$5:$P$20,0)),""))</f>
        <v/>
      </c>
      <c r="D106" s="44"/>
      <c r="E106" s="44"/>
      <c r="F106" s="44"/>
      <c r="G106" s="44"/>
      <c r="H106" s="44"/>
      <c r="I106" s="49"/>
      <c r="J106" s="47"/>
      <c r="K106" s="50"/>
      <c r="L106" s="43" t="str">
        <f t="shared" si="1"/>
        <v/>
      </c>
      <c r="M106" s="44"/>
    </row>
    <row r="107" ht="15.75" customHeight="1">
      <c r="A107" s="48"/>
      <c r="B107" s="44"/>
      <c r="C107" s="31" t="str">
        <f t="array" ref="C107">IF(B107="","",IFERROR(INDEX(Listas!$Q$5:$Q$20,MATCH(B107,Listas!$P$5:$P$20,0)),""))</f>
        <v/>
      </c>
      <c r="D107" s="44"/>
      <c r="E107" s="44"/>
      <c r="F107" s="44"/>
      <c r="G107" s="44"/>
      <c r="H107" s="44"/>
      <c r="I107" s="49"/>
      <c r="J107" s="47"/>
      <c r="K107" s="50"/>
      <c r="L107" s="43" t="str">
        <f t="shared" si="1"/>
        <v/>
      </c>
      <c r="M107" s="44"/>
    </row>
    <row r="108" ht="15.75" customHeight="1">
      <c r="A108" s="48"/>
      <c r="B108" s="44"/>
      <c r="C108" s="31" t="str">
        <f t="array" ref="C108">IF(B108="","",IFERROR(INDEX(Listas!$Q$5:$Q$20,MATCH(B108,Listas!$P$5:$P$20,0)),""))</f>
        <v/>
      </c>
      <c r="D108" s="44"/>
      <c r="E108" s="44"/>
      <c r="F108" s="44"/>
      <c r="G108" s="44"/>
      <c r="H108" s="44"/>
      <c r="I108" s="49"/>
      <c r="J108" s="47"/>
      <c r="K108" s="50"/>
      <c r="L108" s="43" t="str">
        <f t="shared" si="1"/>
        <v/>
      </c>
      <c r="M108" s="44"/>
    </row>
    <row r="109" ht="15.75" customHeight="1">
      <c r="A109" s="48"/>
      <c r="B109" s="44"/>
      <c r="C109" s="31" t="str">
        <f t="array" ref="C109">IF(B109="","",IFERROR(INDEX(Listas!$Q$5:$Q$20,MATCH(B109,Listas!$P$5:$P$20,0)),""))</f>
        <v/>
      </c>
      <c r="D109" s="44"/>
      <c r="E109" s="44"/>
      <c r="F109" s="44"/>
      <c r="G109" s="44"/>
      <c r="H109" s="44"/>
      <c r="I109" s="49"/>
      <c r="J109" s="47"/>
      <c r="K109" s="50"/>
      <c r="L109" s="43" t="str">
        <f t="shared" si="1"/>
        <v/>
      </c>
      <c r="M109" s="44"/>
    </row>
    <row r="110" ht="15.75" customHeight="1">
      <c r="A110" s="48"/>
      <c r="B110" s="44"/>
      <c r="C110" s="31" t="str">
        <f t="array" ref="C110">IF(B110="","",IFERROR(INDEX(Listas!$Q$5:$Q$20,MATCH(B110,Listas!$P$5:$P$20,0)),""))</f>
        <v/>
      </c>
      <c r="D110" s="44"/>
      <c r="E110" s="44"/>
      <c r="F110" s="44"/>
      <c r="G110" s="44"/>
      <c r="H110" s="44"/>
      <c r="I110" s="49"/>
      <c r="J110" s="47"/>
      <c r="K110" s="50"/>
      <c r="L110" s="43" t="str">
        <f t="shared" si="1"/>
        <v/>
      </c>
      <c r="M110" s="44"/>
    </row>
    <row r="111" ht="15.75" customHeight="1">
      <c r="A111" s="48"/>
      <c r="B111" s="44"/>
      <c r="C111" s="31" t="str">
        <f t="array" ref="C111">IF(B111="","",IFERROR(INDEX(Listas!$Q$5:$Q$20,MATCH(B111,Listas!$P$5:$P$20,0)),""))</f>
        <v/>
      </c>
      <c r="D111" s="44"/>
      <c r="E111" s="44"/>
      <c r="F111" s="44"/>
      <c r="G111" s="44"/>
      <c r="H111" s="44"/>
      <c r="I111" s="49"/>
      <c r="J111" s="47"/>
      <c r="K111" s="50"/>
      <c r="L111" s="43" t="str">
        <f t="shared" si="1"/>
        <v/>
      </c>
      <c r="M111" s="44"/>
    </row>
    <row r="112" ht="15.75" customHeight="1">
      <c r="A112" s="48"/>
      <c r="B112" s="44"/>
      <c r="C112" s="31" t="str">
        <f t="array" ref="C112">IF(B112="","",IFERROR(INDEX(Listas!$Q$5:$Q$20,MATCH(B112,Listas!$P$5:$P$20,0)),""))</f>
        <v/>
      </c>
      <c r="D112" s="44"/>
      <c r="E112" s="44"/>
      <c r="F112" s="44"/>
      <c r="G112" s="44"/>
      <c r="H112" s="44"/>
      <c r="I112" s="49"/>
      <c r="J112" s="47"/>
      <c r="K112" s="50"/>
      <c r="L112" s="43" t="str">
        <f t="shared" si="1"/>
        <v/>
      </c>
      <c r="M112" s="44"/>
    </row>
    <row r="113" ht="15.75" customHeight="1">
      <c r="A113" s="48"/>
      <c r="B113" s="44"/>
      <c r="C113" s="31" t="str">
        <f t="array" ref="C113">IF(B113="","",IFERROR(INDEX(Listas!$Q$5:$Q$20,MATCH(B113,Listas!$P$5:$P$20,0)),""))</f>
        <v/>
      </c>
      <c r="D113" s="44"/>
      <c r="E113" s="44"/>
      <c r="F113" s="44"/>
      <c r="G113" s="44"/>
      <c r="H113" s="44"/>
      <c r="I113" s="49"/>
      <c r="J113" s="47"/>
      <c r="K113" s="50"/>
      <c r="L113" s="43" t="str">
        <f t="shared" si="1"/>
        <v/>
      </c>
      <c r="M113" s="44"/>
    </row>
    <row r="114" ht="15.75" customHeight="1">
      <c r="A114" s="48"/>
      <c r="B114" s="44"/>
      <c r="C114" s="31" t="str">
        <f t="array" ref="C114">IF(B114="","",IFERROR(INDEX(Listas!$Q$5:$Q$20,MATCH(B114,Listas!$P$5:$P$20,0)),""))</f>
        <v/>
      </c>
      <c r="D114" s="44"/>
      <c r="E114" s="44"/>
      <c r="F114" s="44"/>
      <c r="G114" s="44"/>
      <c r="H114" s="44"/>
      <c r="I114" s="49"/>
      <c r="J114" s="47"/>
      <c r="K114" s="50"/>
      <c r="L114" s="43" t="str">
        <f t="shared" si="1"/>
        <v/>
      </c>
      <c r="M114" s="44"/>
    </row>
    <row r="115" ht="15.75" customHeight="1">
      <c r="A115" s="48"/>
      <c r="B115" s="44"/>
      <c r="C115" s="31" t="str">
        <f t="array" ref="C115">IF(B115="","",IFERROR(INDEX(Listas!$Q$5:$Q$20,MATCH(B115,Listas!$P$5:$P$20,0)),""))</f>
        <v/>
      </c>
      <c r="D115" s="44"/>
      <c r="E115" s="44"/>
      <c r="F115" s="44"/>
      <c r="G115" s="44"/>
      <c r="H115" s="44"/>
      <c r="I115" s="49"/>
      <c r="J115" s="47"/>
      <c r="K115" s="50"/>
      <c r="L115" s="43" t="str">
        <f t="shared" si="1"/>
        <v/>
      </c>
      <c r="M115" s="44"/>
    </row>
    <row r="116" ht="15.75" customHeight="1">
      <c r="A116" s="48"/>
      <c r="B116" s="44"/>
      <c r="C116" s="31" t="str">
        <f t="array" ref="C116">IF(B116="","",IFERROR(INDEX(Listas!$Q$5:$Q$20,MATCH(B116,Listas!$P$5:$P$20,0)),""))</f>
        <v/>
      </c>
      <c r="D116" s="44"/>
      <c r="E116" s="44"/>
      <c r="F116" s="44"/>
      <c r="G116" s="44"/>
      <c r="H116" s="44"/>
      <c r="I116" s="49"/>
      <c r="J116" s="47"/>
      <c r="K116" s="50"/>
      <c r="L116" s="43" t="str">
        <f t="shared" si="1"/>
        <v/>
      </c>
      <c r="M116" s="44"/>
    </row>
    <row r="117" ht="15.75" customHeight="1">
      <c r="A117" s="48"/>
      <c r="B117" s="44"/>
      <c r="C117" s="31" t="str">
        <f t="array" ref="C117">IF(B117="","",IFERROR(INDEX(Listas!$Q$5:$Q$20,MATCH(B117,Listas!$P$5:$P$20,0)),""))</f>
        <v/>
      </c>
      <c r="D117" s="44"/>
      <c r="E117" s="44"/>
      <c r="F117" s="44"/>
      <c r="G117" s="44"/>
      <c r="H117" s="44"/>
      <c r="I117" s="49"/>
      <c r="J117" s="47"/>
      <c r="K117" s="50"/>
      <c r="L117" s="43" t="str">
        <f t="shared" si="1"/>
        <v/>
      </c>
      <c r="M117" s="44"/>
    </row>
    <row r="118" ht="15.75" customHeight="1">
      <c r="A118" s="48"/>
      <c r="B118" s="44"/>
      <c r="C118" s="31" t="str">
        <f t="array" ref="C118">IF(B118="","",IFERROR(INDEX(Listas!$Q$5:$Q$20,MATCH(B118,Listas!$P$5:$P$20,0)),""))</f>
        <v/>
      </c>
      <c r="D118" s="44"/>
      <c r="E118" s="44"/>
      <c r="F118" s="44"/>
      <c r="G118" s="44"/>
      <c r="H118" s="44"/>
      <c r="I118" s="49"/>
      <c r="J118" s="47"/>
      <c r="K118" s="50"/>
      <c r="L118" s="43" t="str">
        <f t="shared" si="1"/>
        <v/>
      </c>
      <c r="M118" s="44"/>
    </row>
    <row r="119" ht="15.75" customHeight="1">
      <c r="A119" s="48"/>
      <c r="B119" s="44"/>
      <c r="C119" s="31" t="str">
        <f t="array" ref="C119">IF(B119="","",IFERROR(INDEX(Listas!$Q$5:$Q$20,MATCH(B119,Listas!$P$5:$P$20,0)),""))</f>
        <v/>
      </c>
      <c r="D119" s="44"/>
      <c r="E119" s="44"/>
      <c r="F119" s="44"/>
      <c r="G119" s="44"/>
      <c r="H119" s="44"/>
      <c r="I119" s="49"/>
      <c r="J119" s="47"/>
      <c r="K119" s="50"/>
      <c r="L119" s="43" t="str">
        <f t="shared" si="1"/>
        <v/>
      </c>
      <c r="M119" s="44"/>
    </row>
    <row r="120" ht="15.75" customHeight="1">
      <c r="A120" s="48"/>
      <c r="B120" s="44"/>
      <c r="C120" s="31" t="str">
        <f t="array" ref="C120">IF(B120="","",IFERROR(INDEX(Listas!$Q$5:$Q$20,MATCH(B120,Listas!$P$5:$P$20,0)),""))</f>
        <v/>
      </c>
      <c r="D120" s="44"/>
      <c r="E120" s="44"/>
      <c r="F120" s="44"/>
      <c r="G120" s="44"/>
      <c r="H120" s="44"/>
      <c r="I120" s="49"/>
      <c r="J120" s="47"/>
      <c r="K120" s="50"/>
      <c r="L120" s="43" t="str">
        <f t="shared" si="1"/>
        <v/>
      </c>
      <c r="M120" s="44"/>
    </row>
    <row r="121" ht="15.75" customHeight="1">
      <c r="A121" s="48"/>
      <c r="B121" s="44"/>
      <c r="C121" s="31" t="str">
        <f t="array" ref="C121">IF(B121="","",IFERROR(INDEX(Listas!$Q$5:$Q$20,MATCH(B121,Listas!$P$5:$P$20,0)),""))</f>
        <v/>
      </c>
      <c r="D121" s="44"/>
      <c r="E121" s="44"/>
      <c r="F121" s="44"/>
      <c r="G121" s="44"/>
      <c r="H121" s="44"/>
      <c r="I121" s="49"/>
      <c r="J121" s="47"/>
      <c r="K121" s="50"/>
      <c r="L121" s="43" t="str">
        <f t="shared" si="1"/>
        <v/>
      </c>
      <c r="M121" s="44"/>
    </row>
    <row r="122" ht="15.75" customHeight="1">
      <c r="A122" s="48"/>
      <c r="B122" s="44"/>
      <c r="C122" s="31" t="str">
        <f t="array" ref="C122">IF(B122="","",IFERROR(INDEX(Listas!$Q$5:$Q$20,MATCH(B122,Listas!$P$5:$P$20,0)),""))</f>
        <v/>
      </c>
      <c r="D122" s="44"/>
      <c r="E122" s="44"/>
      <c r="F122" s="44"/>
      <c r="G122" s="44"/>
      <c r="H122" s="44"/>
      <c r="I122" s="49"/>
      <c r="J122" s="47"/>
      <c r="K122" s="50"/>
      <c r="L122" s="43" t="str">
        <f t="shared" si="1"/>
        <v/>
      </c>
      <c r="M122" s="44"/>
    </row>
    <row r="123" ht="15.75" customHeight="1">
      <c r="A123" s="48"/>
      <c r="B123" s="44"/>
      <c r="C123" s="31" t="str">
        <f t="array" ref="C123">IF(B123="","",IFERROR(INDEX(Listas!$Q$5:$Q$20,MATCH(B123,Listas!$P$5:$P$20,0)),""))</f>
        <v/>
      </c>
      <c r="D123" s="44"/>
      <c r="E123" s="44"/>
      <c r="F123" s="44"/>
      <c r="G123" s="44"/>
      <c r="H123" s="44"/>
      <c r="I123" s="49"/>
      <c r="J123" s="47"/>
      <c r="K123" s="50"/>
      <c r="L123" s="43" t="str">
        <f t="shared" si="1"/>
        <v/>
      </c>
      <c r="M123" s="44"/>
    </row>
    <row r="124" ht="15.75" customHeight="1">
      <c r="A124" s="48"/>
      <c r="B124" s="44"/>
      <c r="C124" s="31" t="str">
        <f t="array" ref="C124">IF(B124="","",IFERROR(INDEX(Listas!$Q$5:$Q$20,MATCH(B124,Listas!$P$5:$P$20,0)),""))</f>
        <v/>
      </c>
      <c r="D124" s="44"/>
      <c r="E124" s="44"/>
      <c r="F124" s="44"/>
      <c r="G124" s="44"/>
      <c r="H124" s="44"/>
      <c r="I124" s="49"/>
      <c r="J124" s="47"/>
      <c r="K124" s="50"/>
      <c r="L124" s="43" t="str">
        <f t="shared" si="1"/>
        <v/>
      </c>
      <c r="M124" s="44"/>
    </row>
    <row r="125" ht="15.75" customHeight="1">
      <c r="A125" s="48"/>
      <c r="B125" s="44"/>
      <c r="C125" s="31" t="str">
        <f t="array" ref="C125">IF(B125="","",IFERROR(INDEX(Listas!$Q$5:$Q$20,MATCH(B125,Listas!$P$5:$P$20,0)),""))</f>
        <v/>
      </c>
      <c r="D125" s="44"/>
      <c r="E125" s="44"/>
      <c r="F125" s="44"/>
      <c r="G125" s="44"/>
      <c r="H125" s="44"/>
      <c r="I125" s="49"/>
      <c r="J125" s="47"/>
      <c r="K125" s="50"/>
      <c r="L125" s="43" t="str">
        <f t="shared" si="1"/>
        <v/>
      </c>
      <c r="M125" s="44"/>
    </row>
    <row r="126" ht="15.75" customHeight="1">
      <c r="A126" s="48"/>
      <c r="B126" s="44"/>
      <c r="C126" s="31" t="str">
        <f t="array" ref="C126">IF(B126="","",IFERROR(INDEX(Listas!$Q$5:$Q$20,MATCH(B126,Listas!$P$5:$P$20,0)),""))</f>
        <v/>
      </c>
      <c r="D126" s="44"/>
      <c r="E126" s="44"/>
      <c r="F126" s="44"/>
      <c r="G126" s="44"/>
      <c r="H126" s="44"/>
      <c r="I126" s="49"/>
      <c r="J126" s="47"/>
      <c r="K126" s="50"/>
      <c r="L126" s="43" t="str">
        <f t="shared" si="1"/>
        <v/>
      </c>
      <c r="M126" s="44"/>
    </row>
    <row r="127" ht="15.75" customHeight="1">
      <c r="A127" s="48"/>
      <c r="B127" s="44"/>
      <c r="C127" s="31" t="str">
        <f t="array" ref="C127">IF(B127="","",IFERROR(INDEX(Listas!$Q$5:$Q$20,MATCH(B127,Listas!$P$5:$P$20,0)),""))</f>
        <v/>
      </c>
      <c r="D127" s="44"/>
      <c r="E127" s="44"/>
      <c r="F127" s="44"/>
      <c r="G127" s="44"/>
      <c r="H127" s="44"/>
      <c r="I127" s="49"/>
      <c r="J127" s="47"/>
      <c r="K127" s="50"/>
      <c r="L127" s="43" t="str">
        <f t="shared" si="1"/>
        <v/>
      </c>
      <c r="M127" s="44"/>
    </row>
    <row r="128" ht="15.75" customHeight="1">
      <c r="A128" s="48"/>
      <c r="B128" s="44"/>
      <c r="C128" s="31" t="str">
        <f t="array" ref="C128">IF(B128="","",IFERROR(INDEX(Listas!$Q$5:$Q$20,MATCH(B128,Listas!$P$5:$P$20,0)),""))</f>
        <v/>
      </c>
      <c r="D128" s="44"/>
      <c r="E128" s="44"/>
      <c r="F128" s="44"/>
      <c r="G128" s="44"/>
      <c r="H128" s="44"/>
      <c r="I128" s="49"/>
      <c r="J128" s="47"/>
      <c r="K128" s="50"/>
      <c r="L128" s="43" t="str">
        <f t="shared" si="1"/>
        <v/>
      </c>
      <c r="M128" s="44"/>
    </row>
    <row r="129" ht="15.75" customHeight="1">
      <c r="A129" s="48"/>
      <c r="B129" s="44"/>
      <c r="C129" s="31" t="str">
        <f t="array" ref="C129">IF(B129="","",IFERROR(INDEX(Listas!$Q$5:$Q$20,MATCH(B129,Listas!$P$5:$P$20,0)),""))</f>
        <v/>
      </c>
      <c r="D129" s="44"/>
      <c r="E129" s="44"/>
      <c r="F129" s="44"/>
      <c r="G129" s="44"/>
      <c r="H129" s="44"/>
      <c r="I129" s="49"/>
      <c r="J129" s="47"/>
      <c r="K129" s="50"/>
      <c r="L129" s="43" t="str">
        <f t="shared" si="1"/>
        <v/>
      </c>
      <c r="M129" s="44"/>
    </row>
    <row r="130" ht="15.75" customHeight="1">
      <c r="A130" s="48"/>
      <c r="B130" s="44"/>
      <c r="C130" s="31" t="str">
        <f t="array" ref="C130">IF(B130="","",IFERROR(INDEX(Listas!$Q$5:$Q$20,MATCH(B130,Listas!$P$5:$P$20,0)),""))</f>
        <v/>
      </c>
      <c r="D130" s="44"/>
      <c r="E130" s="44"/>
      <c r="F130" s="44"/>
      <c r="G130" s="44"/>
      <c r="H130" s="44"/>
      <c r="I130" s="49"/>
      <c r="J130" s="47"/>
      <c r="K130" s="50"/>
      <c r="L130" s="43" t="str">
        <f t="shared" si="1"/>
        <v/>
      </c>
      <c r="M130" s="44"/>
    </row>
    <row r="131" ht="15.75" customHeight="1">
      <c r="A131" s="48"/>
      <c r="B131" s="44"/>
      <c r="C131" s="31" t="str">
        <f t="array" ref="C131">IF(B131="","",IFERROR(INDEX(Listas!$Q$5:$Q$20,MATCH(B131,Listas!$P$5:$P$20,0)),""))</f>
        <v/>
      </c>
      <c r="D131" s="44"/>
      <c r="E131" s="44"/>
      <c r="F131" s="44"/>
      <c r="G131" s="44"/>
      <c r="H131" s="44"/>
      <c r="I131" s="49"/>
      <c r="J131" s="47"/>
      <c r="K131" s="50"/>
      <c r="L131" s="43" t="str">
        <f t="shared" si="1"/>
        <v/>
      </c>
      <c r="M131" s="44"/>
    </row>
    <row r="132" ht="15.75" customHeight="1">
      <c r="A132" s="48"/>
      <c r="B132" s="44"/>
      <c r="C132" s="31" t="str">
        <f t="array" ref="C132">IF(B132="","",IFERROR(INDEX(Listas!$Q$5:$Q$20,MATCH(B132,Listas!$P$5:$P$20,0)),""))</f>
        <v/>
      </c>
      <c r="D132" s="44"/>
      <c r="E132" s="44"/>
      <c r="F132" s="44"/>
      <c r="G132" s="44"/>
      <c r="H132" s="44"/>
      <c r="I132" s="49"/>
      <c r="J132" s="47"/>
      <c r="K132" s="50"/>
      <c r="L132" s="43" t="str">
        <f t="shared" si="1"/>
        <v/>
      </c>
      <c r="M132" s="44"/>
    </row>
    <row r="133" ht="15.75" customHeight="1">
      <c r="A133" s="48"/>
      <c r="B133" s="44"/>
      <c r="C133" s="31" t="str">
        <f t="array" ref="C133">IF(B133="","",IFERROR(INDEX(Listas!$Q$5:$Q$20,MATCH(B133,Listas!$P$5:$P$20,0)),""))</f>
        <v/>
      </c>
      <c r="D133" s="44"/>
      <c r="E133" s="44"/>
      <c r="F133" s="44"/>
      <c r="G133" s="44"/>
      <c r="H133" s="44"/>
      <c r="I133" s="49"/>
      <c r="J133" s="47"/>
      <c r="K133" s="50"/>
      <c r="L133" s="43" t="str">
        <f t="shared" si="1"/>
        <v/>
      </c>
      <c r="M133" s="44"/>
    </row>
    <row r="134" ht="15.75" customHeight="1">
      <c r="A134" s="48"/>
      <c r="B134" s="44"/>
      <c r="C134" s="31" t="str">
        <f t="array" ref="C134">IF(B134="","",IFERROR(INDEX(Listas!$Q$5:$Q$20,MATCH(B134,Listas!$P$5:$P$20,0)),""))</f>
        <v/>
      </c>
      <c r="D134" s="44"/>
      <c r="E134" s="44"/>
      <c r="F134" s="44"/>
      <c r="G134" s="44"/>
      <c r="H134" s="44"/>
      <c r="I134" s="49"/>
      <c r="J134" s="47"/>
      <c r="K134" s="50"/>
      <c r="L134" s="43" t="str">
        <f t="shared" si="1"/>
        <v/>
      </c>
      <c r="M134" s="44"/>
    </row>
    <row r="135" ht="15.75" customHeight="1">
      <c r="A135" s="48"/>
      <c r="B135" s="44"/>
      <c r="C135" s="31" t="str">
        <f t="array" ref="C135">IF(B135="","",IFERROR(INDEX(Listas!$Q$5:$Q$20,MATCH(B135,Listas!$P$5:$P$20,0)),""))</f>
        <v/>
      </c>
      <c r="D135" s="44"/>
      <c r="E135" s="44"/>
      <c r="F135" s="44"/>
      <c r="G135" s="44"/>
      <c r="H135" s="44"/>
      <c r="I135" s="49"/>
      <c r="J135" s="47"/>
      <c r="K135" s="50"/>
      <c r="L135" s="43" t="str">
        <f t="shared" si="1"/>
        <v/>
      </c>
      <c r="M135" s="44"/>
    </row>
    <row r="136" ht="15.75" customHeight="1">
      <c r="A136" s="48"/>
      <c r="B136" s="44"/>
      <c r="C136" s="31" t="str">
        <f t="array" ref="C136">IF(B136="","",IFERROR(INDEX(Listas!$Q$5:$Q$20,MATCH(B136,Listas!$P$5:$P$20,0)),""))</f>
        <v/>
      </c>
      <c r="D136" s="44"/>
      <c r="E136" s="44"/>
      <c r="F136" s="44"/>
      <c r="G136" s="44"/>
      <c r="H136" s="44"/>
      <c r="I136" s="49"/>
      <c r="J136" s="47"/>
      <c r="K136" s="50"/>
      <c r="L136" s="43" t="str">
        <f t="shared" si="1"/>
        <v/>
      </c>
      <c r="M136" s="44"/>
    </row>
    <row r="137" ht="15.75" customHeight="1">
      <c r="A137" s="48"/>
      <c r="B137" s="44"/>
      <c r="C137" s="31" t="str">
        <f t="array" ref="C137">IF(B137="","",IFERROR(INDEX(Listas!$Q$5:$Q$20,MATCH(B137,Listas!$P$5:$P$20,0)),""))</f>
        <v/>
      </c>
      <c r="D137" s="44"/>
      <c r="E137" s="44"/>
      <c r="F137" s="44"/>
      <c r="G137" s="44"/>
      <c r="H137" s="44"/>
      <c r="I137" s="49"/>
      <c r="J137" s="47"/>
      <c r="K137" s="50"/>
      <c r="L137" s="43" t="str">
        <f t="shared" si="1"/>
        <v/>
      </c>
      <c r="M137" s="44"/>
    </row>
    <row r="138" ht="15.75" customHeight="1">
      <c r="A138" s="48"/>
      <c r="B138" s="44"/>
      <c r="C138" s="31" t="str">
        <f t="array" ref="C138">IF(B138="","",IFERROR(INDEX(Listas!$Q$5:$Q$20,MATCH(B138,Listas!$P$5:$P$20,0)),""))</f>
        <v/>
      </c>
      <c r="D138" s="44"/>
      <c r="E138" s="44"/>
      <c r="F138" s="44"/>
      <c r="G138" s="44"/>
      <c r="H138" s="44"/>
      <c r="I138" s="49"/>
      <c r="J138" s="47"/>
      <c r="K138" s="50"/>
      <c r="L138" s="43" t="str">
        <f t="shared" si="1"/>
        <v/>
      </c>
      <c r="M138" s="44"/>
    </row>
    <row r="139" ht="15.75" customHeight="1">
      <c r="A139" s="48"/>
      <c r="B139" s="44"/>
      <c r="C139" s="31" t="str">
        <f t="array" ref="C139">IF(B139="","",IFERROR(INDEX(Listas!$Q$5:$Q$20,MATCH(B139,Listas!$P$5:$P$20,0)),""))</f>
        <v/>
      </c>
      <c r="D139" s="44"/>
      <c r="E139" s="44"/>
      <c r="F139" s="44"/>
      <c r="G139" s="44"/>
      <c r="H139" s="44"/>
      <c r="I139" s="49"/>
      <c r="J139" s="47"/>
      <c r="K139" s="50"/>
      <c r="L139" s="43" t="str">
        <f t="shared" si="1"/>
        <v/>
      </c>
      <c r="M139" s="44"/>
    </row>
    <row r="140" ht="15.75" customHeight="1">
      <c r="A140" s="48"/>
      <c r="B140" s="44"/>
      <c r="C140" s="31" t="str">
        <f t="array" ref="C140">IF(B140="","",IFERROR(INDEX(Listas!$Q$5:$Q$20,MATCH(B140,Listas!$P$5:$P$20,0)),""))</f>
        <v/>
      </c>
      <c r="D140" s="44"/>
      <c r="E140" s="44"/>
      <c r="F140" s="44"/>
      <c r="G140" s="44"/>
      <c r="H140" s="44"/>
      <c r="I140" s="49"/>
      <c r="J140" s="47"/>
      <c r="K140" s="50"/>
      <c r="L140" s="43" t="str">
        <f t="shared" si="1"/>
        <v/>
      </c>
      <c r="M140" s="44"/>
    </row>
    <row r="141" ht="15.75" customHeight="1">
      <c r="A141" s="48"/>
      <c r="B141" s="44"/>
      <c r="C141" s="31" t="str">
        <f t="array" ref="C141">IF(B141="","",IFERROR(INDEX(Listas!$Q$5:$Q$20,MATCH(B141,Listas!$P$5:$P$20,0)),""))</f>
        <v/>
      </c>
      <c r="D141" s="44"/>
      <c r="E141" s="44"/>
      <c r="F141" s="44"/>
      <c r="G141" s="44"/>
      <c r="H141" s="44"/>
      <c r="I141" s="49"/>
      <c r="J141" s="47"/>
      <c r="K141" s="50"/>
      <c r="L141" s="43" t="str">
        <f t="shared" si="1"/>
        <v/>
      </c>
      <c r="M141" s="44"/>
    </row>
    <row r="142" ht="15.75" customHeight="1">
      <c r="A142" s="48"/>
      <c r="B142" s="44"/>
      <c r="C142" s="31" t="str">
        <f t="array" ref="C142">IF(B142="","",IFERROR(INDEX(Listas!$Q$5:$Q$20,MATCH(B142,Listas!$P$5:$P$20,0)),""))</f>
        <v/>
      </c>
      <c r="D142" s="44"/>
      <c r="E142" s="44"/>
      <c r="F142" s="44"/>
      <c r="G142" s="44"/>
      <c r="H142" s="44"/>
      <c r="I142" s="49"/>
      <c r="J142" s="47"/>
      <c r="K142" s="50"/>
      <c r="L142" s="43" t="str">
        <f t="shared" si="1"/>
        <v/>
      </c>
      <c r="M142" s="44"/>
    </row>
    <row r="143" ht="15.75" customHeight="1">
      <c r="A143" s="48"/>
      <c r="B143" s="44"/>
      <c r="C143" s="31" t="str">
        <f t="array" ref="C143">IF(B143="","",IFERROR(INDEX(Listas!$Q$5:$Q$20,MATCH(B143,Listas!$P$5:$P$20,0)),""))</f>
        <v/>
      </c>
      <c r="D143" s="44"/>
      <c r="E143" s="44"/>
      <c r="F143" s="44"/>
      <c r="G143" s="44"/>
      <c r="H143" s="44"/>
      <c r="I143" s="49"/>
      <c r="J143" s="47"/>
      <c r="K143" s="50"/>
      <c r="L143" s="43" t="str">
        <f t="shared" si="1"/>
        <v/>
      </c>
      <c r="M143" s="44"/>
    </row>
    <row r="144" ht="15.75" customHeight="1">
      <c r="A144" s="48"/>
      <c r="B144" s="44"/>
      <c r="C144" s="31" t="str">
        <f t="array" ref="C144">IF(B144="","",IFERROR(INDEX(Listas!$Q$5:$Q$20,MATCH(B144,Listas!$P$5:$P$20,0)),""))</f>
        <v/>
      </c>
      <c r="D144" s="44"/>
      <c r="E144" s="44"/>
      <c r="F144" s="44"/>
      <c r="G144" s="44"/>
      <c r="H144" s="44"/>
      <c r="I144" s="49"/>
      <c r="J144" s="47"/>
      <c r="K144" s="50"/>
      <c r="L144" s="43" t="str">
        <f t="shared" si="1"/>
        <v/>
      </c>
      <c r="M144" s="44"/>
    </row>
    <row r="145" ht="15.75" customHeight="1">
      <c r="A145" s="48"/>
      <c r="B145" s="44"/>
      <c r="C145" s="31" t="str">
        <f t="array" ref="C145">IF(B145="","",IFERROR(INDEX(Listas!$Q$5:$Q$20,MATCH(B145,Listas!$P$5:$P$20,0)),""))</f>
        <v/>
      </c>
      <c r="D145" s="44"/>
      <c r="E145" s="44"/>
      <c r="F145" s="44"/>
      <c r="G145" s="44"/>
      <c r="H145" s="44"/>
      <c r="I145" s="49"/>
      <c r="J145" s="47"/>
      <c r="K145" s="50"/>
      <c r="L145" s="43" t="str">
        <f t="shared" si="1"/>
        <v/>
      </c>
      <c r="M145" s="44"/>
    </row>
    <row r="146" ht="15.75" customHeight="1">
      <c r="A146" s="48"/>
      <c r="B146" s="44"/>
      <c r="C146" s="31" t="str">
        <f t="array" ref="C146">IF(B146="","",IFERROR(INDEX(Listas!$Q$5:$Q$20,MATCH(B146,Listas!$P$5:$P$20,0)),""))</f>
        <v/>
      </c>
      <c r="D146" s="44"/>
      <c r="E146" s="44"/>
      <c r="F146" s="44"/>
      <c r="G146" s="44"/>
      <c r="H146" s="44"/>
      <c r="I146" s="49"/>
      <c r="J146" s="47"/>
      <c r="K146" s="50"/>
      <c r="L146" s="43" t="str">
        <f t="shared" si="1"/>
        <v/>
      </c>
      <c r="M146" s="44"/>
    </row>
    <row r="147" ht="15.75" customHeight="1">
      <c r="A147" s="48"/>
      <c r="B147" s="44"/>
      <c r="C147" s="31" t="str">
        <f t="array" ref="C147">IF(B147="","",IFERROR(INDEX(Listas!$Q$5:$Q$20,MATCH(B147,Listas!$P$5:$P$20,0)),""))</f>
        <v/>
      </c>
      <c r="D147" s="44"/>
      <c r="E147" s="44"/>
      <c r="F147" s="44"/>
      <c r="G147" s="44"/>
      <c r="H147" s="44"/>
      <c r="I147" s="49"/>
      <c r="J147" s="47"/>
      <c r="K147" s="50"/>
      <c r="L147" s="43" t="str">
        <f t="shared" si="1"/>
        <v/>
      </c>
      <c r="M147" s="44"/>
    </row>
    <row r="148" ht="15.75" customHeight="1">
      <c r="A148" s="48"/>
      <c r="B148" s="44"/>
      <c r="C148" s="31" t="str">
        <f t="array" ref="C148">IF(B148="","",IFERROR(INDEX(Listas!$Q$5:$Q$20,MATCH(B148,Listas!$P$5:$P$20,0)),""))</f>
        <v/>
      </c>
      <c r="D148" s="44"/>
      <c r="E148" s="44"/>
      <c r="F148" s="44"/>
      <c r="G148" s="44"/>
      <c r="H148" s="44"/>
      <c r="I148" s="49"/>
      <c r="J148" s="47"/>
      <c r="K148" s="50"/>
      <c r="L148" s="43" t="str">
        <f t="shared" si="1"/>
        <v/>
      </c>
      <c r="M148" s="44"/>
    </row>
    <row r="149" ht="15.75" customHeight="1">
      <c r="A149" s="48"/>
      <c r="B149" s="44"/>
      <c r="C149" s="31" t="str">
        <f t="array" ref="C149">IF(B149="","",IFERROR(INDEX(Listas!$Q$5:$Q$20,MATCH(B149,Listas!$P$5:$P$20,0)),""))</f>
        <v/>
      </c>
      <c r="D149" s="44"/>
      <c r="E149" s="44"/>
      <c r="F149" s="44"/>
      <c r="G149" s="44"/>
      <c r="H149" s="44"/>
      <c r="I149" s="49"/>
      <c r="J149" s="47"/>
      <c r="K149" s="50"/>
      <c r="L149" s="43" t="str">
        <f t="shared" si="1"/>
        <v/>
      </c>
      <c r="M149" s="44"/>
    </row>
    <row r="150" ht="15.75" customHeight="1">
      <c r="A150" s="48"/>
      <c r="B150" s="44"/>
      <c r="C150" s="31" t="str">
        <f t="array" ref="C150">IF(B150="","",IFERROR(INDEX(Listas!$Q$5:$Q$20,MATCH(B150,Listas!$P$5:$P$20,0)),""))</f>
        <v/>
      </c>
      <c r="D150" s="44"/>
      <c r="E150" s="44"/>
      <c r="F150" s="44"/>
      <c r="G150" s="44"/>
      <c r="H150" s="44"/>
      <c r="I150" s="49"/>
      <c r="J150" s="47"/>
      <c r="K150" s="50"/>
      <c r="L150" s="43" t="str">
        <f t="shared" si="1"/>
        <v/>
      </c>
      <c r="M150" s="44"/>
    </row>
    <row r="151" ht="15.75" customHeight="1">
      <c r="A151" s="48"/>
      <c r="B151" s="44"/>
      <c r="C151" s="31" t="str">
        <f t="array" ref="C151">IF(B151="","",IFERROR(INDEX(Listas!$Q$5:$Q$20,MATCH(B151,Listas!$P$5:$P$20,0)),""))</f>
        <v/>
      </c>
      <c r="D151" s="44"/>
      <c r="E151" s="44"/>
      <c r="F151" s="44"/>
      <c r="G151" s="44"/>
      <c r="H151" s="44"/>
      <c r="I151" s="49"/>
      <c r="J151" s="47"/>
      <c r="K151" s="50"/>
      <c r="L151" s="43" t="str">
        <f t="shared" si="1"/>
        <v/>
      </c>
      <c r="M151" s="44"/>
    </row>
    <row r="152" ht="15.75" customHeight="1">
      <c r="A152" s="48"/>
      <c r="B152" s="44"/>
      <c r="C152" s="31" t="str">
        <f t="array" ref="C152">IF(B152="","",IFERROR(INDEX(Listas!$Q$5:$Q$20,MATCH(B152,Listas!$P$5:$P$20,0)),""))</f>
        <v/>
      </c>
      <c r="D152" s="44"/>
      <c r="E152" s="44"/>
      <c r="F152" s="44"/>
      <c r="G152" s="44"/>
      <c r="H152" s="44"/>
      <c r="I152" s="49"/>
      <c r="J152" s="47"/>
      <c r="K152" s="50"/>
      <c r="L152" s="43" t="str">
        <f t="shared" si="1"/>
        <v/>
      </c>
      <c r="M152" s="44"/>
    </row>
    <row r="153" ht="15.75" customHeight="1">
      <c r="A153" s="48"/>
      <c r="B153" s="44"/>
      <c r="C153" s="31" t="str">
        <f t="array" ref="C153">IF(B153="","",IFERROR(INDEX(Listas!$Q$5:$Q$20,MATCH(B153,Listas!$P$5:$P$20,0)),""))</f>
        <v/>
      </c>
      <c r="D153" s="44"/>
      <c r="E153" s="44"/>
      <c r="F153" s="44"/>
      <c r="G153" s="44"/>
      <c r="H153" s="44"/>
      <c r="I153" s="49"/>
      <c r="J153" s="47"/>
      <c r="K153" s="50"/>
      <c r="L153" s="43" t="str">
        <f t="shared" si="1"/>
        <v/>
      </c>
      <c r="M153" s="44"/>
    </row>
    <row r="154" ht="15.75" customHeight="1">
      <c r="A154" s="48"/>
      <c r="B154" s="44"/>
      <c r="C154" s="31" t="str">
        <f t="array" ref="C154">IF(B154="","",IFERROR(INDEX(Listas!$Q$5:$Q$20,MATCH(B154,Listas!$P$5:$P$20,0)),""))</f>
        <v/>
      </c>
      <c r="D154" s="44"/>
      <c r="E154" s="44"/>
      <c r="F154" s="44"/>
      <c r="G154" s="44"/>
      <c r="H154" s="44"/>
      <c r="I154" s="49"/>
      <c r="J154" s="47"/>
      <c r="K154" s="50"/>
      <c r="L154" s="43" t="str">
        <f t="shared" si="1"/>
        <v/>
      </c>
      <c r="M154" s="44"/>
    </row>
    <row r="155" ht="15.75" customHeight="1">
      <c r="A155" s="48"/>
      <c r="B155" s="44"/>
      <c r="C155" s="31" t="str">
        <f t="array" ref="C155">IF(B155="","",IFERROR(INDEX(Listas!$Q$5:$Q$20,MATCH(B155,Listas!$P$5:$P$20,0)),""))</f>
        <v/>
      </c>
      <c r="D155" s="44"/>
      <c r="E155" s="44"/>
      <c r="F155" s="44"/>
      <c r="G155" s="44"/>
      <c r="H155" s="44"/>
      <c r="I155" s="49"/>
      <c r="J155" s="47"/>
      <c r="K155" s="50"/>
      <c r="L155" s="43" t="str">
        <f t="shared" si="1"/>
        <v/>
      </c>
      <c r="M155" s="44"/>
    </row>
    <row r="156" ht="15.75" customHeight="1">
      <c r="A156" s="48"/>
      <c r="B156" s="44"/>
      <c r="C156" s="31" t="str">
        <f t="array" ref="C156">IF(B156="","",IFERROR(INDEX(Listas!$Q$5:$Q$20,MATCH(B156,Listas!$P$5:$P$20,0)),""))</f>
        <v/>
      </c>
      <c r="D156" s="44"/>
      <c r="E156" s="44"/>
      <c r="F156" s="44"/>
      <c r="G156" s="44"/>
      <c r="H156" s="44"/>
      <c r="I156" s="49"/>
      <c r="J156" s="47"/>
      <c r="K156" s="50"/>
      <c r="L156" s="43" t="str">
        <f t="shared" si="1"/>
        <v/>
      </c>
      <c r="M156" s="44"/>
    </row>
    <row r="157" ht="15.75" customHeight="1">
      <c r="A157" s="48"/>
      <c r="B157" s="44"/>
      <c r="C157" s="31" t="str">
        <f t="array" ref="C157">IF(B157="","",IFERROR(INDEX(Listas!$Q$5:$Q$20,MATCH(B157,Listas!$P$5:$P$20,0)),""))</f>
        <v/>
      </c>
      <c r="D157" s="44"/>
      <c r="E157" s="44"/>
      <c r="F157" s="44"/>
      <c r="G157" s="44"/>
      <c r="H157" s="44"/>
      <c r="I157" s="49"/>
      <c r="J157" s="47"/>
      <c r="K157" s="50"/>
      <c r="L157" s="43" t="str">
        <f t="shared" si="1"/>
        <v/>
      </c>
      <c r="M157" s="44"/>
    </row>
    <row r="158" ht="15.75" customHeight="1">
      <c r="A158" s="48"/>
      <c r="B158" s="44"/>
      <c r="C158" s="31" t="str">
        <f t="array" ref="C158">IF(B158="","",IFERROR(INDEX(Listas!$Q$5:$Q$20,MATCH(B158,Listas!$P$5:$P$20,0)),""))</f>
        <v/>
      </c>
      <c r="D158" s="44"/>
      <c r="E158" s="44"/>
      <c r="F158" s="44"/>
      <c r="G158" s="44"/>
      <c r="H158" s="44"/>
      <c r="I158" s="49"/>
      <c r="J158" s="47"/>
      <c r="K158" s="50"/>
      <c r="L158" s="43" t="str">
        <f t="shared" si="1"/>
        <v/>
      </c>
      <c r="M158" s="44"/>
    </row>
    <row r="159" ht="15.75" customHeight="1">
      <c r="A159" s="48"/>
      <c r="B159" s="44"/>
      <c r="C159" s="31" t="str">
        <f t="array" ref="C159">IF(B159="","",IFERROR(INDEX(Listas!$Q$5:$Q$20,MATCH(B159,Listas!$P$5:$P$20,0)),""))</f>
        <v/>
      </c>
      <c r="D159" s="44"/>
      <c r="E159" s="44"/>
      <c r="F159" s="44"/>
      <c r="G159" s="44"/>
      <c r="H159" s="44"/>
      <c r="I159" s="49"/>
      <c r="J159" s="47"/>
      <c r="K159" s="50"/>
      <c r="L159" s="43" t="str">
        <f t="shared" si="1"/>
        <v/>
      </c>
      <c r="M159" s="44"/>
    </row>
    <row r="160" ht="15.75" customHeight="1">
      <c r="A160" s="48"/>
      <c r="B160" s="44"/>
      <c r="C160" s="31" t="str">
        <f t="array" ref="C160">IF(B160="","",IFERROR(INDEX(Listas!$Q$5:$Q$20,MATCH(B160,Listas!$P$5:$P$20,0)),""))</f>
        <v/>
      </c>
      <c r="D160" s="44"/>
      <c r="E160" s="44"/>
      <c r="F160" s="44"/>
      <c r="G160" s="44"/>
      <c r="H160" s="44"/>
      <c r="I160" s="49"/>
      <c r="J160" s="47"/>
      <c r="K160" s="50"/>
      <c r="L160" s="43" t="str">
        <f t="shared" si="1"/>
        <v/>
      </c>
      <c r="M160" s="44"/>
    </row>
    <row r="161" ht="15.75" customHeight="1">
      <c r="A161" s="48"/>
      <c r="B161" s="44"/>
      <c r="C161" s="31" t="str">
        <f t="array" ref="C161">IF(B161="","",IFERROR(INDEX(Listas!$Q$5:$Q$20,MATCH(B161,Listas!$P$5:$P$20,0)),""))</f>
        <v/>
      </c>
      <c r="D161" s="44"/>
      <c r="E161" s="44"/>
      <c r="F161" s="44"/>
      <c r="G161" s="44"/>
      <c r="H161" s="44"/>
      <c r="I161" s="49"/>
      <c r="J161" s="47"/>
      <c r="K161" s="50"/>
      <c r="L161" s="43" t="str">
        <f t="shared" si="1"/>
        <v/>
      </c>
      <c r="M161" s="44"/>
    </row>
    <row r="162" ht="15.75" customHeight="1">
      <c r="A162" s="48"/>
      <c r="B162" s="44"/>
      <c r="C162" s="31" t="str">
        <f t="array" ref="C162">IF(B162="","",IFERROR(INDEX(Listas!$Q$5:$Q$20,MATCH(B162,Listas!$P$5:$P$20,0)),""))</f>
        <v/>
      </c>
      <c r="D162" s="44"/>
      <c r="E162" s="44"/>
      <c r="F162" s="44"/>
      <c r="G162" s="44"/>
      <c r="H162" s="44"/>
      <c r="I162" s="49"/>
      <c r="J162" s="47"/>
      <c r="K162" s="50"/>
      <c r="L162" s="43" t="str">
        <f t="shared" si="1"/>
        <v/>
      </c>
      <c r="M162" s="44"/>
    </row>
    <row r="163" ht="15.75" customHeight="1">
      <c r="A163" s="48"/>
      <c r="B163" s="44"/>
      <c r="C163" s="31" t="str">
        <f t="array" ref="C163">IF(B163="","",IFERROR(INDEX(Listas!$Q$5:$Q$20,MATCH(B163,Listas!$P$5:$P$20,0)),""))</f>
        <v/>
      </c>
      <c r="D163" s="44"/>
      <c r="E163" s="44"/>
      <c r="F163" s="44"/>
      <c r="G163" s="44"/>
      <c r="H163" s="44"/>
      <c r="I163" s="49"/>
      <c r="J163" s="47"/>
      <c r="K163" s="50"/>
      <c r="L163" s="43" t="str">
        <f t="shared" si="1"/>
        <v/>
      </c>
      <c r="M163" s="44"/>
    </row>
    <row r="164" ht="15.75" customHeight="1">
      <c r="A164" s="48"/>
      <c r="B164" s="44"/>
      <c r="C164" s="31" t="str">
        <f t="array" ref="C164">IF(B164="","",IFERROR(INDEX(Listas!$Q$5:$Q$20,MATCH(B164,Listas!$P$5:$P$20,0)),""))</f>
        <v/>
      </c>
      <c r="D164" s="44"/>
      <c r="E164" s="44"/>
      <c r="F164" s="44"/>
      <c r="G164" s="44"/>
      <c r="H164" s="44"/>
      <c r="I164" s="49"/>
      <c r="J164" s="47"/>
      <c r="K164" s="50"/>
      <c r="L164" s="43" t="str">
        <f t="shared" si="1"/>
        <v/>
      </c>
      <c r="M164" s="44"/>
    </row>
    <row r="165" ht="15.75" customHeight="1">
      <c r="A165" s="48"/>
      <c r="B165" s="44"/>
      <c r="C165" s="31" t="str">
        <f t="array" ref="C165">IF(B165="","",IFERROR(INDEX(Listas!$Q$5:$Q$20,MATCH(B165,Listas!$P$5:$P$20,0)),""))</f>
        <v/>
      </c>
      <c r="D165" s="44"/>
      <c r="E165" s="44"/>
      <c r="F165" s="44"/>
      <c r="G165" s="44"/>
      <c r="H165" s="44"/>
      <c r="I165" s="49"/>
      <c r="J165" s="47"/>
      <c r="K165" s="50"/>
      <c r="L165" s="43" t="str">
        <f t="shared" si="1"/>
        <v/>
      </c>
      <c r="M165" s="44"/>
    </row>
    <row r="166" ht="15.75" customHeight="1">
      <c r="A166" s="48"/>
      <c r="B166" s="44"/>
      <c r="C166" s="31" t="str">
        <f t="array" ref="C166">IF(B166="","",IFERROR(INDEX(Listas!$Q$5:$Q$20,MATCH(B166,Listas!$P$5:$P$20,0)),""))</f>
        <v/>
      </c>
      <c r="D166" s="44"/>
      <c r="E166" s="44"/>
      <c r="F166" s="44"/>
      <c r="G166" s="44"/>
      <c r="H166" s="44"/>
      <c r="I166" s="49"/>
      <c r="J166" s="47"/>
      <c r="K166" s="50"/>
      <c r="L166" s="43" t="str">
        <f t="shared" si="1"/>
        <v/>
      </c>
      <c r="M166" s="44"/>
    </row>
    <row r="167" ht="15.75" customHeight="1">
      <c r="A167" s="48"/>
      <c r="B167" s="44"/>
      <c r="C167" s="31" t="str">
        <f t="array" ref="C167">IF(B167="","",IFERROR(INDEX(Listas!$Q$5:$Q$20,MATCH(B167,Listas!$P$5:$P$20,0)),""))</f>
        <v/>
      </c>
      <c r="D167" s="44"/>
      <c r="E167" s="44"/>
      <c r="F167" s="44"/>
      <c r="G167" s="44"/>
      <c r="H167" s="44"/>
      <c r="I167" s="49"/>
      <c r="J167" s="47"/>
      <c r="K167" s="50"/>
      <c r="L167" s="43" t="str">
        <f t="shared" si="1"/>
        <v/>
      </c>
      <c r="M167" s="44"/>
    </row>
    <row r="168" ht="15.75" customHeight="1">
      <c r="A168" s="48"/>
      <c r="B168" s="44"/>
      <c r="C168" s="31" t="str">
        <f t="array" ref="C168">IF(B168="","",IFERROR(INDEX(Listas!$Q$5:$Q$20,MATCH(B168,Listas!$P$5:$P$20,0)),""))</f>
        <v/>
      </c>
      <c r="D168" s="44"/>
      <c r="E168" s="44"/>
      <c r="F168" s="44"/>
      <c r="G168" s="44"/>
      <c r="H168" s="44"/>
      <c r="I168" s="49"/>
      <c r="J168" s="47"/>
      <c r="K168" s="50"/>
      <c r="L168" s="43" t="str">
        <f t="shared" si="1"/>
        <v/>
      </c>
      <c r="M168" s="44"/>
    </row>
    <row r="169" ht="15.75" customHeight="1">
      <c r="A169" s="48"/>
      <c r="B169" s="44"/>
      <c r="C169" s="31" t="str">
        <f t="array" ref="C169">IF(B169="","",IFERROR(INDEX(Listas!$Q$5:$Q$20,MATCH(B169,Listas!$P$5:$P$20,0)),""))</f>
        <v/>
      </c>
      <c r="D169" s="44"/>
      <c r="E169" s="44"/>
      <c r="F169" s="44"/>
      <c r="G169" s="44"/>
      <c r="H169" s="44"/>
      <c r="I169" s="49"/>
      <c r="J169" s="47"/>
      <c r="K169" s="50"/>
      <c r="L169" s="43" t="str">
        <f t="shared" si="1"/>
        <v/>
      </c>
      <c r="M169" s="44"/>
    </row>
    <row r="170" ht="15.75" customHeight="1">
      <c r="A170" s="48"/>
      <c r="B170" s="44"/>
      <c r="C170" s="31" t="str">
        <f t="array" ref="C170">IF(B170="","",IFERROR(INDEX(Listas!$Q$5:$Q$20,MATCH(B170,Listas!$P$5:$P$20,0)),""))</f>
        <v/>
      </c>
      <c r="D170" s="44"/>
      <c r="E170" s="44"/>
      <c r="F170" s="44"/>
      <c r="G170" s="44"/>
      <c r="H170" s="44"/>
      <c r="I170" s="49"/>
      <c r="J170" s="47"/>
      <c r="K170" s="50"/>
      <c r="L170" s="43" t="str">
        <f t="shared" si="1"/>
        <v/>
      </c>
      <c r="M170" s="44"/>
    </row>
    <row r="171" ht="15.75" customHeight="1">
      <c r="A171" s="48"/>
      <c r="B171" s="44"/>
      <c r="C171" s="31" t="str">
        <f t="array" ref="C171">IF(B171="","",IFERROR(INDEX(Listas!$Q$5:$Q$20,MATCH(B171,Listas!$P$5:$P$20,0)),""))</f>
        <v/>
      </c>
      <c r="D171" s="44"/>
      <c r="E171" s="44"/>
      <c r="F171" s="44"/>
      <c r="G171" s="44"/>
      <c r="H171" s="44"/>
      <c r="I171" s="49"/>
      <c r="J171" s="47"/>
      <c r="K171" s="50"/>
      <c r="L171" s="43" t="str">
        <f t="shared" si="1"/>
        <v/>
      </c>
      <c r="M171" s="44"/>
    </row>
    <row r="172" ht="15.75" customHeight="1">
      <c r="A172" s="48"/>
      <c r="B172" s="44"/>
      <c r="C172" s="31" t="str">
        <f t="array" ref="C172">IF(B172="","",IFERROR(INDEX(Listas!$Q$5:$Q$20,MATCH(B172,Listas!$P$5:$P$20,0)),""))</f>
        <v/>
      </c>
      <c r="D172" s="44"/>
      <c r="E172" s="44"/>
      <c r="F172" s="44"/>
      <c r="G172" s="44"/>
      <c r="H172" s="44"/>
      <c r="I172" s="49"/>
      <c r="J172" s="47"/>
      <c r="K172" s="50"/>
      <c r="L172" s="43" t="str">
        <f t="shared" si="1"/>
        <v/>
      </c>
      <c r="M172" s="44"/>
    </row>
    <row r="173" ht="15.75" customHeight="1">
      <c r="A173" s="48"/>
      <c r="B173" s="44"/>
      <c r="C173" s="31" t="str">
        <f t="array" ref="C173">IF(B173="","",IFERROR(INDEX(Listas!$Q$5:$Q$20,MATCH(B173,Listas!$P$5:$P$20,0)),""))</f>
        <v/>
      </c>
      <c r="D173" s="44"/>
      <c r="E173" s="44"/>
      <c r="F173" s="44"/>
      <c r="G173" s="44"/>
      <c r="H173" s="44"/>
      <c r="I173" s="49"/>
      <c r="J173" s="47"/>
      <c r="K173" s="50"/>
      <c r="L173" s="43" t="str">
        <f t="shared" si="1"/>
        <v/>
      </c>
      <c r="M173" s="44"/>
    </row>
    <row r="174" ht="15.75" customHeight="1">
      <c r="A174" s="48"/>
      <c r="B174" s="44"/>
      <c r="C174" s="31" t="str">
        <f t="array" ref="C174">IF(B174="","",IFERROR(INDEX(Listas!$Q$5:$Q$20,MATCH(B174,Listas!$P$5:$P$20,0)),""))</f>
        <v/>
      </c>
      <c r="D174" s="44"/>
      <c r="E174" s="44"/>
      <c r="F174" s="44"/>
      <c r="G174" s="44"/>
      <c r="H174" s="44"/>
      <c r="I174" s="49"/>
      <c r="J174" s="47"/>
      <c r="K174" s="50"/>
      <c r="L174" s="43" t="str">
        <f t="shared" si="1"/>
        <v/>
      </c>
      <c r="M174" s="44"/>
    </row>
    <row r="175" ht="15.75" customHeight="1">
      <c r="A175" s="48"/>
      <c r="B175" s="44"/>
      <c r="C175" s="31" t="str">
        <f t="array" ref="C175">IF(B175="","",IFERROR(INDEX(Listas!$Q$5:$Q$20,MATCH(B175,Listas!$P$5:$P$20,0)),""))</f>
        <v/>
      </c>
      <c r="D175" s="44"/>
      <c r="E175" s="44"/>
      <c r="F175" s="44"/>
      <c r="G175" s="44"/>
      <c r="H175" s="44"/>
      <c r="I175" s="49"/>
      <c r="J175" s="47"/>
      <c r="K175" s="50"/>
      <c r="L175" s="43" t="str">
        <f t="shared" si="1"/>
        <v/>
      </c>
      <c r="M175" s="44"/>
    </row>
    <row r="176" ht="15.75" customHeight="1">
      <c r="A176" s="48"/>
      <c r="B176" s="44"/>
      <c r="C176" s="31" t="str">
        <f t="array" ref="C176">IF(B176="","",IFERROR(INDEX(Listas!$Q$5:$Q$20,MATCH(B176,Listas!$P$5:$P$20,0)),""))</f>
        <v/>
      </c>
      <c r="D176" s="44"/>
      <c r="E176" s="44"/>
      <c r="F176" s="44"/>
      <c r="G176" s="44"/>
      <c r="H176" s="44"/>
      <c r="I176" s="49"/>
      <c r="J176" s="47"/>
      <c r="K176" s="50"/>
      <c r="L176" s="43" t="str">
        <f t="shared" si="1"/>
        <v/>
      </c>
      <c r="M176" s="44"/>
    </row>
    <row r="177" ht="15.75" customHeight="1">
      <c r="A177" s="48"/>
      <c r="B177" s="44"/>
      <c r="C177" s="31" t="str">
        <f t="array" ref="C177">IF(B177="","",IFERROR(INDEX(Listas!$Q$5:$Q$20,MATCH(B177,Listas!$P$5:$P$20,0)),""))</f>
        <v/>
      </c>
      <c r="D177" s="44"/>
      <c r="E177" s="44"/>
      <c r="F177" s="44"/>
      <c r="G177" s="44"/>
      <c r="H177" s="44"/>
      <c r="I177" s="49"/>
      <c r="J177" s="47"/>
      <c r="K177" s="50"/>
      <c r="L177" s="43" t="str">
        <f t="shared" si="1"/>
        <v/>
      </c>
      <c r="M177" s="44"/>
    </row>
    <row r="178" ht="15.75" customHeight="1">
      <c r="A178" s="48"/>
      <c r="B178" s="44"/>
      <c r="C178" s="31" t="str">
        <f t="array" ref="C178">IF(B178="","",IFERROR(INDEX(Listas!$Q$5:$Q$20,MATCH(B178,Listas!$P$5:$P$20,0)),""))</f>
        <v/>
      </c>
      <c r="D178" s="44"/>
      <c r="E178" s="44"/>
      <c r="F178" s="44"/>
      <c r="G178" s="44"/>
      <c r="H178" s="44"/>
      <c r="I178" s="49"/>
      <c r="J178" s="47"/>
      <c r="K178" s="50"/>
      <c r="L178" s="43" t="str">
        <f t="shared" si="1"/>
        <v/>
      </c>
      <c r="M178" s="44"/>
    </row>
    <row r="179" ht="15.75" customHeight="1">
      <c r="A179" s="48"/>
      <c r="B179" s="44"/>
      <c r="C179" s="31" t="str">
        <f t="array" ref="C179">IF(B179="","",IFERROR(INDEX(Listas!$Q$5:$Q$20,MATCH(B179,Listas!$P$5:$P$20,0)),""))</f>
        <v/>
      </c>
      <c r="D179" s="44"/>
      <c r="E179" s="44"/>
      <c r="F179" s="44"/>
      <c r="G179" s="44"/>
      <c r="H179" s="44"/>
      <c r="I179" s="49"/>
      <c r="J179" s="47"/>
      <c r="K179" s="50"/>
      <c r="L179" s="43" t="str">
        <f t="shared" si="1"/>
        <v/>
      </c>
      <c r="M179" s="44"/>
    </row>
    <row r="180" ht="15.75" customHeight="1">
      <c r="A180" s="48"/>
      <c r="B180" s="44"/>
      <c r="C180" s="31" t="str">
        <f t="array" ref="C180">IF(B180="","",IFERROR(INDEX(Listas!$Q$5:$Q$20,MATCH(B180,Listas!$P$5:$P$20,0)),""))</f>
        <v/>
      </c>
      <c r="D180" s="44"/>
      <c r="E180" s="44"/>
      <c r="F180" s="44"/>
      <c r="G180" s="44"/>
      <c r="H180" s="44"/>
      <c r="I180" s="49"/>
      <c r="J180" s="47"/>
      <c r="K180" s="50"/>
      <c r="L180" s="43" t="str">
        <f t="shared" si="1"/>
        <v/>
      </c>
      <c r="M180" s="44"/>
    </row>
    <row r="181" ht="15.75" customHeight="1">
      <c r="A181" s="48"/>
      <c r="B181" s="44"/>
      <c r="C181" s="31" t="str">
        <f t="array" ref="C181">IF(B181="","",IFERROR(INDEX(Listas!$Q$5:$Q$20,MATCH(B181,Listas!$P$5:$P$20,0)),""))</f>
        <v/>
      </c>
      <c r="D181" s="44"/>
      <c r="E181" s="44"/>
      <c r="F181" s="44"/>
      <c r="G181" s="44"/>
      <c r="H181" s="44"/>
      <c r="I181" s="49"/>
      <c r="J181" s="47"/>
      <c r="K181" s="50"/>
      <c r="L181" s="43" t="str">
        <f t="shared" si="1"/>
        <v/>
      </c>
      <c r="M181" s="44"/>
    </row>
    <row r="182" ht="15.75" customHeight="1">
      <c r="A182" s="48"/>
      <c r="B182" s="44"/>
      <c r="C182" s="31" t="str">
        <f t="array" ref="C182">IF(B182="","",IFERROR(INDEX(Listas!$Q$5:$Q$20,MATCH(B182,Listas!$P$5:$P$20,0)),""))</f>
        <v/>
      </c>
      <c r="D182" s="44"/>
      <c r="E182" s="44"/>
      <c r="F182" s="44"/>
      <c r="G182" s="44"/>
      <c r="H182" s="44"/>
      <c r="I182" s="49"/>
      <c r="J182" s="47"/>
      <c r="K182" s="50"/>
      <c r="L182" s="43" t="str">
        <f t="shared" si="1"/>
        <v/>
      </c>
      <c r="M182" s="44"/>
    </row>
    <row r="183" ht="15.75" customHeight="1">
      <c r="A183" s="48"/>
      <c r="B183" s="44"/>
      <c r="C183" s="31" t="str">
        <f t="array" ref="C183">IF(B183="","",IFERROR(INDEX(Listas!$Q$5:$Q$20,MATCH(B183,Listas!$P$5:$P$20,0)),""))</f>
        <v/>
      </c>
      <c r="D183" s="44"/>
      <c r="E183" s="44"/>
      <c r="F183" s="44"/>
      <c r="G183" s="44"/>
      <c r="H183" s="44"/>
      <c r="I183" s="49"/>
      <c r="J183" s="47"/>
      <c r="K183" s="50"/>
      <c r="L183" s="43" t="str">
        <f t="shared" si="1"/>
        <v/>
      </c>
      <c r="M183" s="44"/>
    </row>
    <row r="184" ht="15.75" customHeight="1">
      <c r="A184" s="48"/>
      <c r="B184" s="44"/>
      <c r="C184" s="31" t="str">
        <f t="array" ref="C184">IF(B184="","",IFERROR(INDEX(Listas!$Q$5:$Q$20,MATCH(B184,Listas!$P$5:$P$20,0)),""))</f>
        <v/>
      </c>
      <c r="D184" s="44"/>
      <c r="E184" s="44"/>
      <c r="F184" s="44"/>
      <c r="G184" s="44"/>
      <c r="H184" s="44"/>
      <c r="I184" s="49"/>
      <c r="J184" s="47"/>
      <c r="K184" s="50"/>
      <c r="L184" s="43" t="str">
        <f t="shared" si="1"/>
        <v/>
      </c>
      <c r="M184" s="44"/>
    </row>
    <row r="185" ht="15.75" customHeight="1">
      <c r="A185" s="48"/>
      <c r="B185" s="44"/>
      <c r="C185" s="31" t="str">
        <f t="array" ref="C185">IF(B185="","",IFERROR(INDEX(Listas!$Q$5:$Q$20,MATCH(B185,Listas!$P$5:$P$20,0)),""))</f>
        <v/>
      </c>
      <c r="D185" s="44"/>
      <c r="E185" s="44"/>
      <c r="F185" s="44"/>
      <c r="G185" s="44"/>
      <c r="H185" s="44"/>
      <c r="I185" s="49"/>
      <c r="J185" s="47"/>
      <c r="K185" s="50"/>
      <c r="L185" s="43" t="str">
        <f t="shared" si="1"/>
        <v/>
      </c>
      <c r="M185" s="44"/>
    </row>
    <row r="186" ht="15.75" customHeight="1">
      <c r="A186" s="48"/>
      <c r="B186" s="44"/>
      <c r="C186" s="31" t="str">
        <f t="array" ref="C186">IF(B186="","",IFERROR(INDEX(Listas!$Q$5:$Q$20,MATCH(B186,Listas!$P$5:$P$20,0)),""))</f>
        <v/>
      </c>
      <c r="D186" s="44"/>
      <c r="E186" s="44"/>
      <c r="F186" s="44"/>
      <c r="G186" s="44"/>
      <c r="H186" s="44"/>
      <c r="I186" s="49"/>
      <c r="J186" s="47"/>
      <c r="K186" s="50"/>
      <c r="L186" s="43" t="str">
        <f t="shared" si="1"/>
        <v/>
      </c>
      <c r="M186" s="44"/>
    </row>
    <row r="187" ht="15.75" customHeight="1">
      <c r="A187" s="48"/>
      <c r="B187" s="44"/>
      <c r="C187" s="31" t="str">
        <f t="array" ref="C187">IF(B187="","",IFERROR(INDEX(Listas!$Q$5:$Q$20,MATCH(B187,Listas!$P$5:$P$20,0)),""))</f>
        <v/>
      </c>
      <c r="D187" s="44"/>
      <c r="E187" s="44"/>
      <c r="F187" s="44"/>
      <c r="G187" s="44"/>
      <c r="H187" s="44"/>
      <c r="I187" s="49"/>
      <c r="J187" s="47"/>
      <c r="K187" s="50"/>
      <c r="L187" s="43" t="str">
        <f t="shared" si="1"/>
        <v/>
      </c>
      <c r="M187" s="44"/>
    </row>
    <row r="188" ht="15.75" customHeight="1">
      <c r="A188" s="48"/>
      <c r="B188" s="44"/>
      <c r="C188" s="31" t="str">
        <f t="array" ref="C188">IF(B188="","",IFERROR(INDEX(Listas!$Q$5:$Q$20,MATCH(B188,Listas!$P$5:$P$20,0)),""))</f>
        <v/>
      </c>
      <c r="D188" s="44"/>
      <c r="E188" s="44"/>
      <c r="F188" s="44"/>
      <c r="G188" s="44"/>
      <c r="H188" s="44"/>
      <c r="I188" s="49"/>
      <c r="J188" s="47"/>
      <c r="K188" s="50"/>
      <c r="L188" s="43" t="str">
        <f t="shared" si="1"/>
        <v/>
      </c>
      <c r="M188" s="44"/>
    </row>
    <row r="189" ht="15.75" customHeight="1">
      <c r="A189" s="48"/>
      <c r="B189" s="44"/>
      <c r="C189" s="31" t="str">
        <f t="array" ref="C189">IF(B189="","",IFERROR(INDEX(Listas!$Q$5:$Q$20,MATCH(B189,Listas!$P$5:$P$20,0)),""))</f>
        <v/>
      </c>
      <c r="D189" s="44"/>
      <c r="E189" s="44"/>
      <c r="F189" s="44"/>
      <c r="G189" s="44"/>
      <c r="H189" s="44"/>
      <c r="I189" s="49"/>
      <c r="J189" s="47"/>
      <c r="K189" s="50"/>
      <c r="L189" s="43" t="str">
        <f t="shared" si="1"/>
        <v/>
      </c>
      <c r="M189" s="44"/>
    </row>
    <row r="190" ht="15.75" customHeight="1">
      <c r="A190" s="48"/>
      <c r="B190" s="44"/>
      <c r="C190" s="31" t="str">
        <f t="array" ref="C190">IF(B190="","",IFERROR(INDEX(Listas!$Q$5:$Q$20,MATCH(B190,Listas!$P$5:$P$20,0)),""))</f>
        <v/>
      </c>
      <c r="D190" s="44"/>
      <c r="E190" s="44"/>
      <c r="F190" s="44"/>
      <c r="G190" s="44"/>
      <c r="H190" s="44"/>
      <c r="I190" s="49"/>
      <c r="J190" s="47"/>
      <c r="K190" s="50"/>
      <c r="L190" s="43" t="str">
        <f t="shared" si="1"/>
        <v/>
      </c>
      <c r="M190" s="44"/>
    </row>
    <row r="191" ht="15.75" customHeight="1">
      <c r="A191" s="48"/>
      <c r="B191" s="44"/>
      <c r="C191" s="31" t="str">
        <f t="array" ref="C191">IF(B191="","",IFERROR(INDEX(Listas!$Q$5:$Q$20,MATCH(B191,Listas!$P$5:$P$20,0)),""))</f>
        <v/>
      </c>
      <c r="D191" s="44"/>
      <c r="E191" s="44"/>
      <c r="F191" s="44"/>
      <c r="G191" s="44"/>
      <c r="H191" s="44"/>
      <c r="I191" s="49"/>
      <c r="J191" s="47"/>
      <c r="K191" s="50"/>
      <c r="L191" s="43" t="str">
        <f t="shared" si="1"/>
        <v/>
      </c>
      <c r="M191" s="44"/>
    </row>
    <row r="192" ht="15.75" customHeight="1">
      <c r="A192" s="48"/>
      <c r="B192" s="44"/>
      <c r="C192" s="31" t="str">
        <f t="array" ref="C192">IF(B192="","",IFERROR(INDEX(Listas!$Q$5:$Q$20,MATCH(B192,Listas!$P$5:$P$20,0)),""))</f>
        <v/>
      </c>
      <c r="D192" s="44"/>
      <c r="E192" s="44"/>
      <c r="F192" s="44"/>
      <c r="G192" s="44"/>
      <c r="H192" s="44"/>
      <c r="I192" s="49"/>
      <c r="J192" s="47"/>
      <c r="K192" s="50"/>
      <c r="L192" s="43" t="str">
        <f t="shared" si="1"/>
        <v/>
      </c>
      <c r="M192" s="44"/>
    </row>
    <row r="193" ht="15.75" customHeight="1">
      <c r="A193" s="48"/>
      <c r="B193" s="44"/>
      <c r="C193" s="31" t="str">
        <f t="array" ref="C193">IF(B193="","",IFERROR(INDEX(Listas!$Q$5:$Q$20,MATCH(B193,Listas!$P$5:$P$20,0)),""))</f>
        <v/>
      </c>
      <c r="D193" s="44"/>
      <c r="E193" s="44"/>
      <c r="F193" s="44"/>
      <c r="G193" s="44"/>
      <c r="H193" s="44"/>
      <c r="I193" s="49"/>
      <c r="J193" s="47"/>
      <c r="K193" s="50"/>
      <c r="L193" s="43" t="str">
        <f t="shared" si="1"/>
        <v/>
      </c>
      <c r="M193" s="44"/>
    </row>
    <row r="194" ht="15.75" customHeight="1">
      <c r="A194" s="48"/>
      <c r="B194" s="44"/>
      <c r="C194" s="31" t="str">
        <f t="array" ref="C194">IF(B194="","",IFERROR(INDEX(Listas!$Q$5:$Q$20,MATCH(B194,Listas!$P$5:$P$20,0)),""))</f>
        <v/>
      </c>
      <c r="D194" s="44"/>
      <c r="E194" s="44"/>
      <c r="F194" s="44"/>
      <c r="G194" s="44"/>
      <c r="H194" s="44"/>
      <c r="I194" s="49"/>
      <c r="J194" s="47"/>
      <c r="K194" s="50"/>
      <c r="L194" s="43" t="str">
        <f t="shared" si="1"/>
        <v/>
      </c>
      <c r="M194" s="44"/>
    </row>
    <row r="195" ht="15.75" customHeight="1">
      <c r="A195" s="48"/>
      <c r="B195" s="44"/>
      <c r="C195" s="31" t="str">
        <f t="array" ref="C195">IF(B195="","",IFERROR(INDEX(Listas!$Q$5:$Q$20,MATCH(B195,Listas!$P$5:$P$20,0)),""))</f>
        <v/>
      </c>
      <c r="D195" s="44"/>
      <c r="E195" s="44"/>
      <c r="F195" s="44"/>
      <c r="G195" s="44"/>
      <c r="H195" s="44"/>
      <c r="I195" s="49"/>
      <c r="J195" s="47"/>
      <c r="K195" s="50"/>
      <c r="L195" s="43" t="str">
        <f t="shared" si="1"/>
        <v/>
      </c>
      <c r="M195" s="44"/>
    </row>
    <row r="196" ht="15.75" customHeight="1">
      <c r="A196" s="48"/>
      <c r="B196" s="44"/>
      <c r="C196" s="31" t="str">
        <f t="array" ref="C196">IF(B196="","",IFERROR(INDEX(Listas!$Q$5:$Q$20,MATCH(B196,Listas!$P$5:$P$20,0)),""))</f>
        <v/>
      </c>
      <c r="D196" s="44"/>
      <c r="E196" s="44"/>
      <c r="F196" s="44"/>
      <c r="G196" s="44"/>
      <c r="H196" s="44"/>
      <c r="I196" s="49"/>
      <c r="J196" s="47"/>
      <c r="K196" s="50"/>
      <c r="L196" s="43" t="str">
        <f t="shared" si="1"/>
        <v/>
      </c>
      <c r="M196" s="44"/>
    </row>
    <row r="197" ht="15.75" customHeight="1">
      <c r="A197" s="48"/>
      <c r="B197" s="44"/>
      <c r="C197" s="31" t="str">
        <f t="array" ref="C197">IF(B197="","",IFERROR(INDEX(Listas!$Q$5:$Q$20,MATCH(B197,Listas!$P$5:$P$20,0)),""))</f>
        <v/>
      </c>
      <c r="D197" s="44"/>
      <c r="E197" s="44"/>
      <c r="F197" s="44"/>
      <c r="G197" s="44"/>
      <c r="H197" s="44"/>
      <c r="I197" s="49"/>
      <c r="J197" s="47"/>
      <c r="K197" s="50"/>
      <c r="L197" s="43" t="str">
        <f t="shared" si="1"/>
        <v/>
      </c>
      <c r="M197" s="44"/>
    </row>
    <row r="198" ht="15.75" customHeight="1">
      <c r="A198" s="48"/>
      <c r="B198" s="44"/>
      <c r="C198" s="31" t="str">
        <f t="array" ref="C198">IF(B198="","",IFERROR(INDEX(Listas!$Q$5:$Q$20,MATCH(B198,Listas!$P$5:$P$20,0)),""))</f>
        <v/>
      </c>
      <c r="D198" s="44"/>
      <c r="E198" s="44"/>
      <c r="F198" s="44"/>
      <c r="G198" s="44"/>
      <c r="H198" s="44"/>
      <c r="I198" s="49"/>
      <c r="J198" s="47"/>
      <c r="K198" s="50"/>
      <c r="L198" s="43" t="str">
        <f t="shared" si="1"/>
        <v/>
      </c>
      <c r="M198" s="44"/>
    </row>
    <row r="199" ht="15.75" customHeight="1">
      <c r="A199" s="48"/>
      <c r="B199" s="44"/>
      <c r="C199" s="31" t="str">
        <f t="array" ref="C199">IF(B199="","",IFERROR(INDEX(Listas!$Q$5:$Q$20,MATCH(B199,Listas!$P$5:$P$20,0)),""))</f>
        <v/>
      </c>
      <c r="D199" s="44"/>
      <c r="E199" s="44"/>
      <c r="F199" s="44"/>
      <c r="G199" s="44"/>
      <c r="H199" s="44"/>
      <c r="I199" s="49"/>
      <c r="J199" s="47"/>
      <c r="K199" s="50"/>
      <c r="L199" s="43" t="str">
        <f t="shared" si="1"/>
        <v/>
      </c>
      <c r="M199" s="44"/>
    </row>
    <row r="200" ht="15.75" customHeight="1">
      <c r="A200" s="48"/>
      <c r="B200" s="44"/>
      <c r="C200" s="31" t="str">
        <f t="array" ref="C200">IF(B200="","",IFERROR(INDEX(Listas!$Q$5:$Q$20,MATCH(B200,Listas!$P$5:$P$20,0)),""))</f>
        <v/>
      </c>
      <c r="D200" s="44"/>
      <c r="E200" s="44"/>
      <c r="F200" s="44"/>
      <c r="G200" s="44"/>
      <c r="H200" s="44"/>
      <c r="I200" s="49"/>
      <c r="J200" s="47"/>
      <c r="K200" s="50"/>
      <c r="L200" s="43" t="str">
        <f t="shared" si="1"/>
        <v/>
      </c>
      <c r="M200" s="44"/>
    </row>
    <row r="201" ht="15.75" customHeight="1">
      <c r="A201" s="48"/>
      <c r="B201" s="44"/>
      <c r="C201" s="31" t="str">
        <f t="array" ref="C201">IF(B201="","",IFERROR(INDEX(Listas!$Q$5:$Q$20,MATCH(B201,Listas!$P$5:$P$20,0)),""))</f>
        <v/>
      </c>
      <c r="D201" s="44"/>
      <c r="E201" s="44"/>
      <c r="F201" s="44"/>
      <c r="G201" s="44"/>
      <c r="H201" s="44"/>
      <c r="I201" s="49"/>
      <c r="J201" s="47"/>
      <c r="K201" s="50"/>
      <c r="L201" s="43" t="str">
        <f t="shared" si="1"/>
        <v/>
      </c>
      <c r="M201" s="44"/>
    </row>
    <row r="202" ht="15.75" customHeight="1">
      <c r="A202" s="48"/>
      <c r="B202" s="44"/>
      <c r="C202" s="31" t="str">
        <f t="array" ref="C202">IF(B202="","",IFERROR(INDEX(Listas!$Q$5:$Q$20,MATCH(B202,Listas!$P$5:$P$20,0)),""))</f>
        <v/>
      </c>
      <c r="D202" s="44"/>
      <c r="E202" s="44"/>
      <c r="F202" s="44"/>
      <c r="G202" s="44"/>
      <c r="H202" s="44"/>
      <c r="I202" s="49"/>
      <c r="J202" s="47"/>
      <c r="K202" s="50"/>
      <c r="L202" s="43" t="str">
        <f t="shared" si="1"/>
        <v/>
      </c>
      <c r="M202" s="44"/>
    </row>
    <row r="203" ht="15.75" customHeight="1">
      <c r="A203" s="48"/>
      <c r="B203" s="44"/>
      <c r="C203" s="31" t="str">
        <f t="array" ref="C203">IF(B203="","",IFERROR(INDEX(Listas!$Q$5:$Q$20,MATCH(B203,Listas!$P$5:$P$20,0)),""))</f>
        <v/>
      </c>
      <c r="D203" s="44"/>
      <c r="E203" s="44"/>
      <c r="F203" s="44"/>
      <c r="G203" s="44"/>
      <c r="H203" s="44"/>
      <c r="I203" s="49"/>
      <c r="J203" s="47"/>
      <c r="K203" s="50"/>
      <c r="L203" s="43" t="str">
        <f t="shared" si="1"/>
        <v/>
      </c>
      <c r="M203" s="44"/>
    </row>
    <row r="204" ht="15.75" customHeight="1">
      <c r="A204" s="48"/>
      <c r="B204" s="44"/>
      <c r="C204" s="31" t="str">
        <f t="array" ref="C204">IF(B204="","",IFERROR(INDEX(Listas!$Q$5:$Q$20,MATCH(B204,Listas!$P$5:$P$20,0)),""))</f>
        <v/>
      </c>
      <c r="D204" s="44"/>
      <c r="E204" s="44"/>
      <c r="F204" s="44"/>
      <c r="G204" s="44"/>
      <c r="H204" s="44"/>
      <c r="I204" s="49"/>
      <c r="J204" s="47"/>
      <c r="K204" s="50"/>
      <c r="L204" s="43" t="str">
        <f t="shared" si="1"/>
        <v/>
      </c>
      <c r="M204" s="44"/>
    </row>
    <row r="205" ht="15.75" customHeight="1">
      <c r="A205" s="48"/>
      <c r="B205" s="44"/>
      <c r="C205" s="31" t="str">
        <f t="array" ref="C205">IF(B205="","",IFERROR(INDEX(Listas!$Q$5:$Q$20,MATCH(B205,Listas!$P$5:$P$20,0)),""))</f>
        <v/>
      </c>
      <c r="D205" s="44"/>
      <c r="E205" s="44"/>
      <c r="F205" s="44"/>
      <c r="G205" s="44"/>
      <c r="H205" s="44"/>
      <c r="I205" s="49"/>
      <c r="J205" s="47"/>
      <c r="K205" s="50"/>
      <c r="L205" s="43" t="str">
        <f t="shared" si="1"/>
        <v/>
      </c>
      <c r="M205" s="44"/>
    </row>
    <row r="206" ht="15.75" customHeight="1">
      <c r="A206" s="48"/>
      <c r="B206" s="44"/>
      <c r="C206" s="31" t="str">
        <f t="array" ref="C206">IF(B206="","",IFERROR(INDEX(Listas!$Q$5:$Q$20,MATCH(B206,Listas!$P$5:$P$20,0)),""))</f>
        <v/>
      </c>
      <c r="D206" s="44"/>
      <c r="E206" s="44"/>
      <c r="F206" s="44"/>
      <c r="G206" s="44"/>
      <c r="H206" s="44"/>
      <c r="I206" s="49"/>
      <c r="J206" s="47"/>
      <c r="K206" s="50"/>
      <c r="L206" s="43" t="str">
        <f t="shared" si="1"/>
        <v/>
      </c>
      <c r="M206" s="44"/>
    </row>
    <row r="207" ht="15.75" customHeight="1">
      <c r="A207" s="48"/>
      <c r="B207" s="44"/>
      <c r="C207" s="31" t="str">
        <f t="array" ref="C207">IF(B207="","",IFERROR(INDEX(Listas!$Q$5:$Q$20,MATCH(B207,Listas!$P$5:$P$20,0)),""))</f>
        <v/>
      </c>
      <c r="D207" s="44"/>
      <c r="E207" s="44"/>
      <c r="F207" s="44"/>
      <c r="G207" s="44"/>
      <c r="H207" s="44"/>
      <c r="I207" s="49"/>
      <c r="J207" s="47"/>
      <c r="K207" s="50"/>
      <c r="L207" s="43" t="str">
        <f t="shared" si="1"/>
        <v/>
      </c>
      <c r="M207" s="44"/>
    </row>
    <row r="208" ht="15.75" customHeight="1">
      <c r="A208" s="48"/>
      <c r="B208" s="44"/>
      <c r="C208" s="31" t="str">
        <f t="array" ref="C208">IF(B208="","",IFERROR(INDEX(Listas!$Q$5:$Q$20,MATCH(B208,Listas!$P$5:$P$20,0)),""))</f>
        <v/>
      </c>
      <c r="D208" s="44"/>
      <c r="E208" s="44"/>
      <c r="F208" s="44"/>
      <c r="G208" s="44"/>
      <c r="H208" s="44"/>
      <c r="I208" s="49"/>
      <c r="J208" s="47"/>
      <c r="K208" s="50"/>
      <c r="L208" s="43" t="str">
        <f t="shared" si="1"/>
        <v/>
      </c>
      <c r="M208" s="44"/>
    </row>
    <row r="209" ht="15.75" customHeight="1">
      <c r="A209" s="48"/>
      <c r="B209" s="44"/>
      <c r="C209" s="31" t="str">
        <f t="array" ref="C209">IF(B209="","",IFERROR(INDEX(Listas!$Q$5:$Q$20,MATCH(B209,Listas!$P$5:$P$20,0)),""))</f>
        <v/>
      </c>
      <c r="D209" s="44"/>
      <c r="E209" s="44"/>
      <c r="F209" s="44"/>
      <c r="G209" s="44"/>
      <c r="H209" s="44"/>
      <c r="I209" s="49"/>
      <c r="J209" s="47"/>
      <c r="K209" s="50"/>
      <c r="L209" s="43" t="str">
        <f t="shared" si="1"/>
        <v/>
      </c>
      <c r="M209" s="44"/>
    </row>
    <row r="210" ht="15.75" customHeight="1">
      <c r="A210" s="48"/>
      <c r="B210" s="44"/>
      <c r="C210" s="31" t="str">
        <f t="array" ref="C210">IF(B210="","",IFERROR(INDEX(Listas!$Q$5:$Q$20,MATCH(B210,Listas!$P$5:$P$20,0)),""))</f>
        <v/>
      </c>
      <c r="D210" s="44"/>
      <c r="E210" s="44"/>
      <c r="F210" s="44"/>
      <c r="G210" s="44"/>
      <c r="H210" s="44"/>
      <c r="I210" s="49"/>
      <c r="J210" s="47"/>
      <c r="K210" s="50"/>
      <c r="L210" s="43" t="str">
        <f t="shared" si="1"/>
        <v/>
      </c>
      <c r="M210" s="44"/>
    </row>
    <row r="211" ht="15.75" customHeight="1">
      <c r="A211" s="48"/>
      <c r="B211" s="44"/>
      <c r="C211" s="31" t="str">
        <f t="array" ref="C211">IF(B211="","",IFERROR(INDEX(Listas!$Q$5:$Q$20,MATCH(B211,Listas!$P$5:$P$20,0)),""))</f>
        <v/>
      </c>
      <c r="D211" s="44"/>
      <c r="E211" s="44"/>
      <c r="F211" s="44"/>
      <c r="G211" s="44"/>
      <c r="H211" s="44"/>
      <c r="I211" s="49"/>
      <c r="J211" s="47"/>
      <c r="K211" s="50"/>
      <c r="L211" s="43" t="str">
        <f t="shared" si="1"/>
        <v/>
      </c>
      <c r="M211" s="44"/>
    </row>
    <row r="212" ht="15.75" customHeight="1">
      <c r="A212" s="48"/>
      <c r="B212" s="44"/>
      <c r="C212" s="31" t="str">
        <f t="array" ref="C212">IF(B212="","",IFERROR(INDEX(Listas!$Q$5:$Q$20,MATCH(B212,Listas!$P$5:$P$20,0)),""))</f>
        <v/>
      </c>
      <c r="D212" s="44"/>
      <c r="E212" s="44"/>
      <c r="F212" s="44"/>
      <c r="G212" s="44"/>
      <c r="H212" s="44"/>
      <c r="I212" s="49"/>
      <c r="J212" s="47"/>
      <c r="K212" s="50"/>
      <c r="L212" s="43" t="str">
        <f t="shared" si="1"/>
        <v/>
      </c>
      <c r="M212" s="44"/>
    </row>
    <row r="213" ht="15.75" customHeight="1">
      <c r="A213" s="48"/>
      <c r="B213" s="44"/>
      <c r="C213" s="31" t="str">
        <f t="array" ref="C213">IF(B213="","",IFERROR(INDEX(Listas!$Q$5:$Q$20,MATCH(B213,Listas!$P$5:$P$20,0)),""))</f>
        <v/>
      </c>
      <c r="D213" s="44"/>
      <c r="E213" s="44"/>
      <c r="F213" s="44"/>
      <c r="G213" s="44"/>
      <c r="H213" s="44"/>
      <c r="I213" s="49"/>
      <c r="J213" s="47"/>
      <c r="K213" s="50"/>
      <c r="L213" s="43" t="str">
        <f t="shared" si="1"/>
        <v/>
      </c>
      <c r="M213" s="44"/>
    </row>
    <row r="214" ht="15.75" customHeight="1">
      <c r="A214" s="48"/>
      <c r="B214" s="44"/>
      <c r="C214" s="31" t="str">
        <f t="array" ref="C214">IF(B214="","",IFERROR(INDEX(Listas!$Q$5:$Q$20,MATCH(B214,Listas!$P$5:$P$20,0)),""))</f>
        <v/>
      </c>
      <c r="D214" s="44"/>
      <c r="E214" s="44"/>
      <c r="F214" s="44"/>
      <c r="G214" s="44"/>
      <c r="H214" s="44"/>
      <c r="I214" s="49"/>
      <c r="J214" s="47"/>
      <c r="K214" s="50"/>
      <c r="L214" s="43" t="str">
        <f t="shared" si="1"/>
        <v/>
      </c>
      <c r="M214" s="44"/>
    </row>
    <row r="215" ht="15.75" customHeight="1">
      <c r="A215" s="48"/>
      <c r="B215" s="44"/>
      <c r="C215" s="31" t="str">
        <f t="array" ref="C215">IF(B215="","",IFERROR(INDEX(Listas!$Q$5:$Q$20,MATCH(B215,Listas!$P$5:$P$20,0)),""))</f>
        <v/>
      </c>
      <c r="D215" s="44"/>
      <c r="E215" s="44"/>
      <c r="F215" s="44"/>
      <c r="G215" s="44"/>
      <c r="H215" s="44"/>
      <c r="I215" s="49"/>
      <c r="J215" s="47"/>
      <c r="K215" s="50"/>
      <c r="L215" s="43" t="str">
        <f t="shared" si="1"/>
        <v/>
      </c>
      <c r="M215" s="44"/>
    </row>
    <row r="216" ht="15.75" customHeight="1">
      <c r="A216" s="48"/>
      <c r="B216" s="44"/>
      <c r="C216" s="31" t="str">
        <f t="array" ref="C216">IF(B216="","",IFERROR(INDEX(Listas!$Q$5:$Q$20,MATCH(B216,Listas!$P$5:$P$20,0)),""))</f>
        <v/>
      </c>
      <c r="D216" s="44"/>
      <c r="E216" s="44"/>
      <c r="F216" s="44"/>
      <c r="G216" s="44"/>
      <c r="H216" s="44"/>
      <c r="I216" s="49"/>
      <c r="J216" s="47"/>
      <c r="K216" s="50"/>
      <c r="L216" s="43" t="str">
        <f t="shared" si="1"/>
        <v/>
      </c>
      <c r="M216" s="44"/>
    </row>
    <row r="217" ht="15.75" customHeight="1">
      <c r="A217" s="48"/>
      <c r="B217" s="44"/>
      <c r="C217" s="31" t="str">
        <f t="array" ref="C217">IF(B217="","",IFERROR(INDEX(Listas!$Q$5:$Q$20,MATCH(B217,Listas!$P$5:$P$20,0)),""))</f>
        <v/>
      </c>
      <c r="D217" s="44"/>
      <c r="E217" s="44"/>
      <c r="F217" s="44"/>
      <c r="G217" s="44"/>
      <c r="H217" s="44"/>
      <c r="I217" s="49"/>
      <c r="J217" s="47"/>
      <c r="K217" s="50"/>
      <c r="L217" s="43" t="str">
        <f t="shared" si="1"/>
        <v/>
      </c>
      <c r="M217" s="44"/>
    </row>
    <row r="218" ht="15.75" customHeight="1">
      <c r="A218" s="48"/>
      <c r="B218" s="44"/>
      <c r="C218" s="31" t="str">
        <f t="array" ref="C218">IF(B218="","",IFERROR(INDEX(Listas!$Q$5:$Q$20,MATCH(B218,Listas!$P$5:$P$20,0)),""))</f>
        <v/>
      </c>
      <c r="D218" s="44"/>
      <c r="E218" s="44"/>
      <c r="F218" s="44"/>
      <c r="G218" s="44"/>
      <c r="H218" s="44"/>
      <c r="I218" s="49"/>
      <c r="J218" s="47"/>
      <c r="K218" s="50"/>
      <c r="L218" s="43" t="str">
        <f t="shared" si="1"/>
        <v/>
      </c>
      <c r="M218" s="44"/>
    </row>
    <row r="219" ht="15.75" customHeight="1">
      <c r="A219" s="48"/>
      <c r="B219" s="44"/>
      <c r="C219" s="31" t="str">
        <f t="array" ref="C219">IF(B219="","",IFERROR(INDEX(Listas!$Q$5:$Q$20,MATCH(B219,Listas!$P$5:$P$20,0)),""))</f>
        <v/>
      </c>
      <c r="D219" s="44"/>
      <c r="E219" s="44"/>
      <c r="F219" s="44"/>
      <c r="G219" s="44"/>
      <c r="H219" s="44"/>
      <c r="I219" s="49"/>
      <c r="J219" s="47"/>
      <c r="K219" s="50"/>
      <c r="L219" s="43" t="str">
        <f t="shared" si="1"/>
        <v/>
      </c>
      <c r="M219" s="44"/>
    </row>
    <row r="220" ht="15.75" customHeight="1">
      <c r="A220" s="48"/>
      <c r="B220" s="44"/>
      <c r="C220" s="31" t="str">
        <f t="array" ref="C220">IF(B220="","",IFERROR(INDEX(Listas!$Q$5:$Q$20,MATCH(B220,Listas!$P$5:$P$20,0)),""))</f>
        <v/>
      </c>
      <c r="D220" s="44"/>
      <c r="E220" s="44"/>
      <c r="F220" s="44"/>
      <c r="G220" s="44"/>
      <c r="H220" s="44"/>
      <c r="I220" s="49"/>
      <c r="J220" s="47"/>
      <c r="K220" s="50"/>
      <c r="L220" s="43" t="str">
        <f t="shared" si="1"/>
        <v/>
      </c>
      <c r="M220" s="44"/>
    </row>
    <row r="221" ht="15.75" customHeight="1">
      <c r="A221" s="48"/>
      <c r="B221" s="44"/>
      <c r="C221" s="31" t="str">
        <f t="array" ref="C221">IF(B221="","",IFERROR(INDEX(Listas!$Q$5:$Q$20,MATCH(B221,Listas!$P$5:$P$20,0)),""))</f>
        <v/>
      </c>
      <c r="D221" s="44"/>
      <c r="E221" s="44"/>
      <c r="F221" s="44"/>
      <c r="G221" s="44"/>
      <c r="H221" s="44"/>
      <c r="I221" s="49"/>
      <c r="J221" s="47"/>
      <c r="K221" s="50"/>
      <c r="L221" s="43" t="str">
        <f t="shared" si="1"/>
        <v/>
      </c>
      <c r="M221" s="44"/>
    </row>
    <row r="222" ht="15.75" customHeight="1">
      <c r="A222" s="48"/>
      <c r="B222" s="44"/>
      <c r="C222" s="31" t="str">
        <f t="array" ref="C222">IF(B222="","",IFERROR(INDEX(Listas!$Q$5:$Q$20,MATCH(B222,Listas!$P$5:$P$20,0)),""))</f>
        <v/>
      </c>
      <c r="D222" s="44"/>
      <c r="E222" s="44"/>
      <c r="F222" s="44"/>
      <c r="G222" s="44"/>
      <c r="H222" s="44"/>
      <c r="I222" s="49"/>
      <c r="J222" s="47"/>
      <c r="K222" s="50"/>
      <c r="L222" s="43" t="str">
        <f t="shared" si="1"/>
        <v/>
      </c>
      <c r="M222" s="44"/>
    </row>
    <row r="223" ht="15.75" customHeight="1">
      <c r="A223" s="48"/>
      <c r="B223" s="44"/>
      <c r="C223" s="31" t="str">
        <f t="array" ref="C223">IF(B223="","",IFERROR(INDEX(Listas!$Q$5:$Q$20,MATCH(B223,Listas!$P$5:$P$20,0)),""))</f>
        <v/>
      </c>
      <c r="D223" s="44"/>
      <c r="E223" s="44"/>
      <c r="F223" s="44"/>
      <c r="G223" s="44"/>
      <c r="H223" s="44"/>
      <c r="I223" s="49"/>
      <c r="J223" s="47"/>
      <c r="K223" s="50"/>
      <c r="L223" s="43" t="str">
        <f t="shared" si="1"/>
        <v/>
      </c>
      <c r="M223" s="44"/>
    </row>
    <row r="224" ht="15.75" customHeight="1">
      <c r="A224" s="48"/>
      <c r="B224" s="44"/>
      <c r="C224" s="31" t="str">
        <f t="array" ref="C224">IF(B224="","",IFERROR(INDEX(Listas!$Q$5:$Q$20,MATCH(B224,Listas!$P$5:$P$20,0)),""))</f>
        <v/>
      </c>
      <c r="D224" s="44"/>
      <c r="E224" s="44"/>
      <c r="F224" s="44"/>
      <c r="G224" s="44"/>
      <c r="H224" s="44"/>
      <c r="I224" s="49"/>
      <c r="J224" s="47"/>
      <c r="K224" s="50"/>
      <c r="L224" s="43" t="str">
        <f t="shared" si="1"/>
        <v/>
      </c>
      <c r="M224" s="44"/>
    </row>
    <row r="225" ht="15.75" customHeight="1">
      <c r="A225" s="48"/>
      <c r="B225" s="44"/>
      <c r="C225" s="31" t="str">
        <f t="array" ref="C225">IF(B225="","",IFERROR(INDEX(Listas!$Q$5:$Q$20,MATCH(B225,Listas!$P$5:$P$20,0)),""))</f>
        <v/>
      </c>
      <c r="D225" s="44"/>
      <c r="E225" s="44"/>
      <c r="F225" s="44"/>
      <c r="G225" s="44"/>
      <c r="H225" s="44"/>
      <c r="I225" s="49"/>
      <c r="J225" s="47"/>
      <c r="K225" s="50"/>
      <c r="L225" s="43" t="str">
        <f t="shared" si="1"/>
        <v/>
      </c>
      <c r="M225" s="44"/>
    </row>
    <row r="226" ht="15.75" customHeight="1">
      <c r="A226" s="48"/>
      <c r="B226" s="44"/>
      <c r="C226" s="31" t="str">
        <f t="array" ref="C226">IF(B226="","",IFERROR(INDEX(Listas!$Q$5:$Q$20,MATCH(B226,Listas!$P$5:$P$20,0)),""))</f>
        <v/>
      </c>
      <c r="D226" s="44"/>
      <c r="E226" s="44"/>
      <c r="F226" s="44"/>
      <c r="G226" s="44"/>
      <c r="H226" s="44"/>
      <c r="I226" s="49"/>
      <c r="J226" s="47"/>
      <c r="K226" s="50"/>
      <c r="L226" s="43" t="str">
        <f t="shared" si="1"/>
        <v/>
      </c>
      <c r="M226" s="44"/>
    </row>
    <row r="227" ht="15.75" customHeight="1">
      <c r="A227" s="48"/>
      <c r="B227" s="44"/>
      <c r="C227" s="31" t="str">
        <f t="array" ref="C227">IF(B227="","",IFERROR(INDEX(Listas!$Q$5:$Q$20,MATCH(B227,Listas!$P$5:$P$20,0)),""))</f>
        <v/>
      </c>
      <c r="D227" s="44"/>
      <c r="E227" s="44"/>
      <c r="F227" s="44"/>
      <c r="G227" s="44"/>
      <c r="H227" s="44"/>
      <c r="I227" s="49"/>
      <c r="J227" s="47"/>
      <c r="K227" s="50"/>
      <c r="L227" s="43" t="str">
        <f t="shared" si="1"/>
        <v/>
      </c>
      <c r="M227" s="44"/>
    </row>
    <row r="228" ht="15.75" customHeight="1">
      <c r="A228" s="48"/>
      <c r="B228" s="44"/>
      <c r="C228" s="31" t="str">
        <f t="array" ref="C228">IF(B228="","",IFERROR(INDEX(Listas!$Q$5:$Q$20,MATCH(B228,Listas!$P$5:$P$20,0)),""))</f>
        <v/>
      </c>
      <c r="D228" s="44"/>
      <c r="E228" s="44"/>
      <c r="F228" s="44"/>
      <c r="G228" s="44"/>
      <c r="H228" s="44"/>
      <c r="I228" s="49"/>
      <c r="J228" s="47"/>
      <c r="K228" s="50"/>
      <c r="L228" s="43" t="str">
        <f t="shared" si="1"/>
        <v/>
      </c>
      <c r="M228" s="44"/>
    </row>
    <row r="229" ht="15.75" customHeight="1">
      <c r="A229" s="48"/>
      <c r="B229" s="44"/>
      <c r="C229" s="31" t="str">
        <f t="array" ref="C229">IF(B229="","",IFERROR(INDEX(Listas!$Q$5:$Q$20,MATCH(B229,Listas!$P$5:$P$20,0)),""))</f>
        <v/>
      </c>
      <c r="D229" s="44"/>
      <c r="E229" s="44"/>
      <c r="F229" s="44"/>
      <c r="G229" s="44"/>
      <c r="H229" s="44"/>
      <c r="I229" s="49"/>
      <c r="J229" s="47"/>
      <c r="K229" s="50"/>
      <c r="L229" s="43" t="str">
        <f t="shared" si="1"/>
        <v/>
      </c>
      <c r="M229" s="44"/>
    </row>
    <row r="230" ht="15.75" customHeight="1">
      <c r="A230" s="48"/>
      <c r="B230" s="44"/>
      <c r="C230" s="31" t="str">
        <f t="array" ref="C230">IF(B230="","",IFERROR(INDEX(Listas!$Q$5:$Q$20,MATCH(B230,Listas!$P$5:$P$20,0)),""))</f>
        <v/>
      </c>
      <c r="D230" s="44"/>
      <c r="E230" s="44"/>
      <c r="F230" s="44"/>
      <c r="G230" s="44"/>
      <c r="H230" s="44"/>
      <c r="I230" s="49"/>
      <c r="J230" s="47"/>
      <c r="K230" s="50"/>
      <c r="L230" s="43" t="str">
        <f t="shared" si="1"/>
        <v/>
      </c>
      <c r="M230" s="44"/>
    </row>
    <row r="231" ht="15.75" customHeight="1">
      <c r="A231" s="48"/>
      <c r="B231" s="44"/>
      <c r="C231" s="31" t="str">
        <f t="array" ref="C231">IF(B231="","",IFERROR(INDEX(Listas!$Q$5:$Q$20,MATCH(B231,Listas!$P$5:$P$20,0)),""))</f>
        <v/>
      </c>
      <c r="D231" s="44"/>
      <c r="E231" s="44"/>
      <c r="F231" s="44"/>
      <c r="G231" s="44"/>
      <c r="H231" s="44"/>
      <c r="I231" s="49"/>
      <c r="J231" s="47"/>
      <c r="K231" s="50"/>
      <c r="L231" s="43" t="str">
        <f t="shared" si="1"/>
        <v/>
      </c>
      <c r="M231" s="44"/>
    </row>
    <row r="232" ht="15.75" customHeight="1">
      <c r="A232" s="48"/>
      <c r="B232" s="44"/>
      <c r="C232" s="31" t="str">
        <f t="array" ref="C232">IF(B232="","",IFERROR(INDEX(Listas!$Q$5:$Q$20,MATCH(B232,Listas!$P$5:$P$20,0)),""))</f>
        <v/>
      </c>
      <c r="D232" s="44"/>
      <c r="E232" s="44"/>
      <c r="F232" s="44"/>
      <c r="G232" s="44"/>
      <c r="H232" s="44"/>
      <c r="I232" s="49"/>
      <c r="J232" s="47"/>
      <c r="K232" s="50"/>
      <c r="L232" s="43" t="str">
        <f t="shared" si="1"/>
        <v/>
      </c>
      <c r="M232" s="44"/>
    </row>
    <row r="233" ht="15.75" customHeight="1">
      <c r="A233" s="48"/>
      <c r="B233" s="44"/>
      <c r="C233" s="31" t="str">
        <f t="array" ref="C233">IF(B233="","",IFERROR(INDEX(Listas!$Q$5:$Q$20,MATCH(B233,Listas!$P$5:$P$20,0)),""))</f>
        <v/>
      </c>
      <c r="D233" s="44"/>
      <c r="E233" s="44"/>
      <c r="F233" s="44"/>
      <c r="G233" s="44"/>
      <c r="H233" s="44"/>
      <c r="I233" s="49"/>
      <c r="J233" s="47"/>
      <c r="K233" s="50"/>
      <c r="L233" s="43" t="str">
        <f t="shared" si="1"/>
        <v/>
      </c>
      <c r="M233" s="44"/>
    </row>
    <row r="234" ht="15.75" customHeight="1">
      <c r="A234" s="48"/>
      <c r="B234" s="44"/>
      <c r="C234" s="31" t="str">
        <f t="array" ref="C234">IF(B234="","",IFERROR(INDEX(Listas!$Q$5:$Q$20,MATCH(B234,Listas!$P$5:$P$20,0)),""))</f>
        <v/>
      </c>
      <c r="D234" s="44"/>
      <c r="E234" s="44"/>
      <c r="F234" s="44"/>
      <c r="G234" s="44"/>
      <c r="H234" s="44"/>
      <c r="I234" s="49"/>
      <c r="J234" s="47"/>
      <c r="K234" s="50"/>
      <c r="L234" s="43" t="str">
        <f t="shared" si="1"/>
        <v/>
      </c>
      <c r="M234" s="44"/>
    </row>
    <row r="235" ht="15.75" customHeight="1">
      <c r="A235" s="48"/>
      <c r="B235" s="44"/>
      <c r="C235" s="31" t="str">
        <f t="array" ref="C235">IF(B235="","",IFERROR(INDEX(Listas!$Q$5:$Q$20,MATCH(B235,Listas!$P$5:$P$20,0)),""))</f>
        <v/>
      </c>
      <c r="D235" s="44"/>
      <c r="E235" s="44"/>
      <c r="F235" s="44"/>
      <c r="G235" s="44"/>
      <c r="H235" s="44"/>
      <c r="I235" s="49"/>
      <c r="J235" s="47"/>
      <c r="K235" s="50"/>
      <c r="L235" s="43" t="str">
        <f t="shared" si="1"/>
        <v/>
      </c>
      <c r="M235" s="44"/>
    </row>
    <row r="236" ht="15.75" customHeight="1">
      <c r="A236" s="48"/>
      <c r="B236" s="44"/>
      <c r="C236" s="31" t="str">
        <f t="array" ref="C236">IF(B236="","",IFERROR(INDEX(Listas!$Q$5:$Q$20,MATCH(B236,Listas!$P$5:$P$20,0)),""))</f>
        <v/>
      </c>
      <c r="D236" s="44"/>
      <c r="E236" s="44"/>
      <c r="F236" s="44"/>
      <c r="G236" s="44"/>
      <c r="H236" s="44"/>
      <c r="I236" s="49"/>
      <c r="J236" s="47"/>
      <c r="K236" s="50"/>
      <c r="L236" s="43" t="str">
        <f t="shared" si="1"/>
        <v/>
      </c>
      <c r="M236" s="44"/>
    </row>
    <row r="237" ht="15.75" customHeight="1">
      <c r="A237" s="48"/>
      <c r="B237" s="44"/>
      <c r="C237" s="31" t="str">
        <f t="array" ref="C237">IF(B237="","",IFERROR(INDEX(Listas!$Q$5:$Q$20,MATCH(B237,Listas!$P$5:$P$20,0)),""))</f>
        <v/>
      </c>
      <c r="D237" s="44"/>
      <c r="E237" s="44"/>
      <c r="F237" s="44"/>
      <c r="G237" s="44"/>
      <c r="H237" s="44"/>
      <c r="I237" s="49"/>
      <c r="J237" s="47"/>
      <c r="K237" s="50"/>
      <c r="L237" s="43" t="str">
        <f t="shared" si="1"/>
        <v/>
      </c>
      <c r="M237" s="44"/>
    </row>
    <row r="238" ht="15.75" customHeight="1">
      <c r="A238" s="48"/>
      <c r="B238" s="44"/>
      <c r="C238" s="31" t="str">
        <f t="array" ref="C238">IF(B238="","",IFERROR(INDEX(Listas!$Q$5:$Q$20,MATCH(B238,Listas!$P$5:$P$20,0)),""))</f>
        <v/>
      </c>
      <c r="D238" s="44"/>
      <c r="E238" s="44"/>
      <c r="F238" s="44"/>
      <c r="G238" s="44"/>
      <c r="H238" s="44"/>
      <c r="I238" s="49"/>
      <c r="J238" s="47"/>
      <c r="K238" s="50"/>
      <c r="L238" s="43" t="str">
        <f t="shared" si="1"/>
        <v/>
      </c>
      <c r="M238" s="44"/>
    </row>
    <row r="239" ht="15.75" customHeight="1">
      <c r="A239" s="48"/>
      <c r="B239" s="44"/>
      <c r="C239" s="31" t="str">
        <f t="array" ref="C239">IF(B239="","",IFERROR(INDEX(Listas!$Q$5:$Q$20,MATCH(B239,Listas!$P$5:$P$20,0)),""))</f>
        <v/>
      </c>
      <c r="D239" s="44"/>
      <c r="E239" s="44"/>
      <c r="F239" s="44"/>
      <c r="G239" s="44"/>
      <c r="H239" s="44"/>
      <c r="I239" s="49"/>
      <c r="J239" s="47"/>
      <c r="K239" s="50"/>
      <c r="L239" s="43" t="str">
        <f t="shared" si="1"/>
        <v/>
      </c>
      <c r="M239" s="44"/>
    </row>
    <row r="240" ht="15.75" customHeight="1">
      <c r="A240" s="48"/>
      <c r="B240" s="44"/>
      <c r="C240" s="31" t="str">
        <f t="array" ref="C240">IF(B240="","",IFERROR(INDEX(Listas!$Q$5:$Q$20,MATCH(B240,Listas!$P$5:$P$20,0)),""))</f>
        <v/>
      </c>
      <c r="D240" s="44"/>
      <c r="E240" s="44"/>
      <c r="F240" s="44"/>
      <c r="G240" s="44"/>
      <c r="H240" s="44"/>
      <c r="I240" s="49"/>
      <c r="J240" s="47"/>
      <c r="K240" s="50"/>
      <c r="L240" s="43" t="str">
        <f t="shared" si="1"/>
        <v/>
      </c>
      <c r="M240" s="44"/>
    </row>
    <row r="241" ht="15.75" customHeight="1">
      <c r="A241" s="48"/>
      <c r="B241" s="44"/>
      <c r="C241" s="31" t="str">
        <f t="array" ref="C241">IF(B241="","",IFERROR(INDEX(Listas!$Q$5:$Q$20,MATCH(B241,Listas!$P$5:$P$20,0)),""))</f>
        <v/>
      </c>
      <c r="D241" s="44"/>
      <c r="E241" s="44"/>
      <c r="F241" s="44"/>
      <c r="G241" s="44"/>
      <c r="H241" s="44"/>
      <c r="I241" s="49"/>
      <c r="J241" s="47"/>
      <c r="K241" s="50"/>
      <c r="L241" s="43" t="str">
        <f t="shared" si="1"/>
        <v/>
      </c>
      <c r="M241" s="44"/>
    </row>
    <row r="242" ht="15.75" customHeight="1">
      <c r="A242" s="48"/>
      <c r="B242" s="44"/>
      <c r="C242" s="31" t="str">
        <f t="array" ref="C242">IF(B242="","",IFERROR(INDEX(Listas!$Q$5:$Q$20,MATCH(B242,Listas!$P$5:$P$20,0)),""))</f>
        <v/>
      </c>
      <c r="D242" s="44"/>
      <c r="E242" s="44"/>
      <c r="F242" s="44"/>
      <c r="G242" s="44"/>
      <c r="H242" s="44"/>
      <c r="I242" s="49"/>
      <c r="J242" s="47"/>
      <c r="K242" s="50"/>
      <c r="L242" s="43" t="str">
        <f t="shared" si="1"/>
        <v/>
      </c>
      <c r="M242" s="44"/>
    </row>
    <row r="243" ht="15.75" customHeight="1">
      <c r="A243" s="48"/>
      <c r="B243" s="44"/>
      <c r="C243" s="31" t="str">
        <f t="array" ref="C243">IF(B243="","",IFERROR(INDEX(Listas!$Q$5:$Q$20,MATCH(B243,Listas!$P$5:$P$20,0)),""))</f>
        <v/>
      </c>
      <c r="D243" s="44"/>
      <c r="E243" s="44"/>
      <c r="F243" s="44"/>
      <c r="G243" s="44"/>
      <c r="H243" s="44"/>
      <c r="I243" s="49"/>
      <c r="J243" s="47"/>
      <c r="K243" s="50"/>
      <c r="L243" s="43" t="str">
        <f t="shared" si="1"/>
        <v/>
      </c>
      <c r="M243" s="44"/>
    </row>
    <row r="244" ht="15.75" customHeight="1">
      <c r="A244" s="48"/>
      <c r="B244" s="44"/>
      <c r="C244" s="31" t="str">
        <f t="array" ref="C244">IF(B244="","",IFERROR(INDEX(Listas!$Q$5:$Q$20,MATCH(B244,Listas!$P$5:$P$20,0)),""))</f>
        <v/>
      </c>
      <c r="D244" s="44"/>
      <c r="E244" s="44"/>
      <c r="F244" s="44"/>
      <c r="G244" s="44"/>
      <c r="H244" s="44"/>
      <c r="I244" s="49"/>
      <c r="J244" s="47"/>
      <c r="K244" s="50"/>
      <c r="L244" s="43" t="str">
        <f t="shared" si="1"/>
        <v/>
      </c>
      <c r="M244" s="44"/>
    </row>
    <row r="245" ht="15.75" customHeight="1">
      <c r="A245" s="48"/>
      <c r="B245" s="44"/>
      <c r="C245" s="31" t="str">
        <f t="array" ref="C245">IF(B245="","",IFERROR(INDEX(Listas!$Q$5:$Q$20,MATCH(B245,Listas!$P$5:$P$20,0)),""))</f>
        <v/>
      </c>
      <c r="D245" s="44"/>
      <c r="E245" s="44"/>
      <c r="F245" s="44"/>
      <c r="G245" s="44"/>
      <c r="H245" s="44"/>
      <c r="I245" s="49"/>
      <c r="J245" s="47"/>
      <c r="K245" s="50"/>
      <c r="L245" s="43" t="str">
        <f t="shared" si="1"/>
        <v/>
      </c>
      <c r="M245" s="44"/>
    </row>
    <row r="246" ht="15.75" customHeight="1">
      <c r="A246" s="48"/>
      <c r="B246" s="44"/>
      <c r="C246" s="31" t="str">
        <f t="array" ref="C246">IF(B246="","",IFERROR(INDEX(Listas!$Q$5:$Q$20,MATCH(B246,Listas!$P$5:$P$20,0)),""))</f>
        <v/>
      </c>
      <c r="D246" s="44"/>
      <c r="E246" s="44"/>
      <c r="F246" s="44"/>
      <c r="G246" s="44"/>
      <c r="H246" s="44"/>
      <c r="I246" s="49"/>
      <c r="J246" s="47"/>
      <c r="K246" s="50"/>
      <c r="L246" s="43" t="str">
        <f t="shared" si="1"/>
        <v/>
      </c>
      <c r="M246" s="44"/>
    </row>
    <row r="247" ht="15.75" customHeight="1">
      <c r="A247" s="48"/>
      <c r="B247" s="44"/>
      <c r="C247" s="31" t="str">
        <f t="array" ref="C247">IF(B247="","",IFERROR(INDEX(Listas!$Q$5:$Q$20,MATCH(B247,Listas!$P$5:$P$20,0)),""))</f>
        <v/>
      </c>
      <c r="D247" s="44"/>
      <c r="E247" s="44"/>
      <c r="F247" s="44"/>
      <c r="G247" s="44"/>
      <c r="H247" s="44"/>
      <c r="I247" s="49"/>
      <c r="J247" s="47"/>
      <c r="K247" s="50"/>
      <c r="L247" s="43" t="str">
        <f t="shared" si="1"/>
        <v/>
      </c>
      <c r="M247" s="44"/>
    </row>
    <row r="248" ht="15.75" customHeight="1">
      <c r="A248" s="48"/>
      <c r="B248" s="44"/>
      <c r="C248" s="31" t="str">
        <f t="array" ref="C248">IF(B248="","",IFERROR(INDEX(Listas!$Q$5:$Q$20,MATCH(B248,Listas!$P$5:$P$20,0)),""))</f>
        <v/>
      </c>
      <c r="D248" s="44"/>
      <c r="E248" s="44"/>
      <c r="F248" s="44"/>
      <c r="G248" s="44"/>
      <c r="H248" s="44"/>
      <c r="I248" s="49"/>
      <c r="J248" s="47"/>
      <c r="K248" s="50"/>
      <c r="L248" s="43" t="str">
        <f t="shared" si="1"/>
        <v/>
      </c>
      <c r="M248" s="44"/>
    </row>
    <row r="249" ht="15.75" customHeight="1">
      <c r="A249" s="48"/>
      <c r="B249" s="44"/>
      <c r="C249" s="31" t="str">
        <f t="array" ref="C249">IF(B249="","",IFERROR(INDEX(Listas!$Q$5:$Q$20,MATCH(B249,Listas!$P$5:$P$20,0)),""))</f>
        <v/>
      </c>
      <c r="D249" s="44"/>
      <c r="E249" s="44"/>
      <c r="F249" s="44"/>
      <c r="G249" s="44"/>
      <c r="H249" s="44"/>
      <c r="I249" s="49"/>
      <c r="J249" s="47"/>
      <c r="K249" s="50"/>
      <c r="L249" s="43" t="str">
        <f t="shared" si="1"/>
        <v/>
      </c>
      <c r="M249" s="44"/>
    </row>
    <row r="250" ht="15.75" customHeight="1">
      <c r="A250" s="48"/>
      <c r="B250" s="44"/>
      <c r="C250" s="31" t="str">
        <f t="array" ref="C250">IF(B250="","",IFERROR(INDEX(Listas!$Q$5:$Q$20,MATCH(B250,Listas!$P$5:$P$20,0)),""))</f>
        <v/>
      </c>
      <c r="D250" s="44"/>
      <c r="E250" s="44"/>
      <c r="F250" s="44"/>
      <c r="G250" s="44"/>
      <c r="H250" s="44"/>
      <c r="I250" s="49"/>
      <c r="J250" s="47"/>
      <c r="K250" s="50"/>
      <c r="L250" s="43" t="str">
        <f t="shared" si="1"/>
        <v/>
      </c>
      <c r="M250" s="44"/>
    </row>
    <row r="251" ht="15.75" customHeight="1">
      <c r="A251" s="48"/>
      <c r="B251" s="44"/>
      <c r="C251" s="31" t="str">
        <f t="array" ref="C251">IF(B251="","",IFERROR(INDEX(Listas!$Q$5:$Q$20,MATCH(B251,Listas!$P$5:$P$20,0)),""))</f>
        <v/>
      </c>
      <c r="D251" s="44"/>
      <c r="E251" s="44"/>
      <c r="F251" s="44"/>
      <c r="G251" s="44"/>
      <c r="H251" s="44"/>
      <c r="I251" s="49"/>
      <c r="J251" s="47"/>
      <c r="K251" s="50"/>
      <c r="L251" s="43" t="str">
        <f t="shared" si="1"/>
        <v/>
      </c>
      <c r="M251" s="44"/>
    </row>
    <row r="252" ht="15.75" customHeight="1">
      <c r="A252" s="48"/>
      <c r="B252" s="44"/>
      <c r="C252" s="31" t="str">
        <f t="array" ref="C252">IF(B252="","",IFERROR(INDEX(Listas!$Q$5:$Q$20,MATCH(B252,Listas!$P$5:$P$20,0)),""))</f>
        <v/>
      </c>
      <c r="D252" s="44"/>
      <c r="E252" s="44"/>
      <c r="F252" s="44"/>
      <c r="G252" s="44"/>
      <c r="H252" s="44"/>
      <c r="I252" s="49"/>
      <c r="J252" s="47"/>
      <c r="K252" s="50"/>
      <c r="L252" s="43" t="str">
        <f t="shared" si="1"/>
        <v/>
      </c>
      <c r="M252" s="44"/>
    </row>
    <row r="253" ht="15.75" customHeight="1">
      <c r="A253" s="48"/>
      <c r="B253" s="44"/>
      <c r="C253" s="31" t="str">
        <f t="array" ref="C253">IF(B253="","",IFERROR(INDEX(Listas!$Q$5:$Q$20,MATCH(B253,Listas!$P$5:$P$20,0)),""))</f>
        <v/>
      </c>
      <c r="D253" s="44"/>
      <c r="E253" s="44"/>
      <c r="F253" s="44"/>
      <c r="G253" s="44"/>
      <c r="H253" s="44"/>
      <c r="I253" s="49"/>
      <c r="J253" s="47"/>
      <c r="K253" s="50"/>
      <c r="L253" s="43" t="str">
        <f t="shared" si="1"/>
        <v/>
      </c>
      <c r="M253" s="44"/>
    </row>
    <row r="254" ht="15.75" customHeight="1">
      <c r="A254" s="48"/>
      <c r="B254" s="44"/>
      <c r="C254" s="31" t="str">
        <f t="array" ref="C254">IF(B254="","",IFERROR(INDEX(Listas!$Q$5:$Q$20,MATCH(B254,Listas!$P$5:$P$20,0)),""))</f>
        <v/>
      </c>
      <c r="D254" s="44"/>
      <c r="E254" s="44"/>
      <c r="F254" s="44"/>
      <c r="G254" s="44"/>
      <c r="H254" s="44"/>
      <c r="I254" s="49"/>
      <c r="J254" s="47"/>
      <c r="K254" s="50"/>
      <c r="L254" s="43" t="str">
        <f t="shared" si="1"/>
        <v/>
      </c>
      <c r="M254" s="44"/>
    </row>
    <row r="255" ht="15.75" customHeight="1">
      <c r="A255" s="48"/>
      <c r="B255" s="44"/>
      <c r="C255" s="31" t="str">
        <f t="array" ref="C255">IF(B255="","",IFERROR(INDEX(Listas!$Q$5:$Q$20,MATCH(B255,Listas!$P$5:$P$20,0)),""))</f>
        <v/>
      </c>
      <c r="D255" s="44"/>
      <c r="E255" s="44"/>
      <c r="F255" s="44"/>
      <c r="G255" s="44"/>
      <c r="H255" s="44"/>
      <c r="I255" s="49"/>
      <c r="J255" s="47"/>
      <c r="K255" s="50"/>
      <c r="L255" s="43" t="str">
        <f t="shared" si="1"/>
        <v/>
      </c>
      <c r="M255" s="44"/>
    </row>
    <row r="256" ht="15.75" customHeight="1">
      <c r="A256" s="48"/>
      <c r="B256" s="44"/>
      <c r="C256" s="31" t="str">
        <f t="array" ref="C256">IF(B256="","",IFERROR(INDEX(Listas!$Q$5:$Q$20,MATCH(B256,Listas!$P$5:$P$20,0)),""))</f>
        <v/>
      </c>
      <c r="D256" s="44"/>
      <c r="E256" s="44"/>
      <c r="F256" s="44"/>
      <c r="G256" s="44"/>
      <c r="H256" s="44"/>
      <c r="I256" s="49"/>
      <c r="J256" s="47"/>
      <c r="K256" s="50"/>
      <c r="L256" s="43" t="str">
        <f t="shared" si="1"/>
        <v/>
      </c>
      <c r="M256" s="44"/>
    </row>
    <row r="257" ht="15.75" customHeight="1">
      <c r="A257" s="48"/>
      <c r="B257" s="44"/>
      <c r="C257" s="31" t="str">
        <f t="array" ref="C257">IF(B257="","",IFERROR(INDEX(Listas!$Q$5:$Q$20,MATCH(B257,Listas!$P$5:$P$20,0)),""))</f>
        <v/>
      </c>
      <c r="D257" s="44"/>
      <c r="E257" s="44"/>
      <c r="F257" s="44"/>
      <c r="G257" s="44"/>
      <c r="H257" s="44"/>
      <c r="I257" s="49"/>
      <c r="J257" s="47"/>
      <c r="K257" s="50"/>
      <c r="L257" s="43" t="str">
        <f t="shared" si="1"/>
        <v/>
      </c>
      <c r="M257" s="44"/>
    </row>
    <row r="258" ht="15.75" customHeight="1">
      <c r="A258" s="48"/>
      <c r="B258" s="44"/>
      <c r="C258" s="31" t="str">
        <f t="array" ref="C258">IF(B258="","",IFERROR(INDEX(Listas!$Q$5:$Q$20,MATCH(B258,Listas!$P$5:$P$20,0)),""))</f>
        <v/>
      </c>
      <c r="D258" s="44"/>
      <c r="E258" s="44"/>
      <c r="F258" s="44"/>
      <c r="G258" s="44"/>
      <c r="H258" s="44"/>
      <c r="I258" s="49"/>
      <c r="J258" s="47"/>
      <c r="K258" s="50"/>
      <c r="L258" s="43" t="str">
        <f t="shared" si="1"/>
        <v/>
      </c>
      <c r="M258" s="44"/>
    </row>
    <row r="259" ht="15.75" customHeight="1">
      <c r="A259" s="48"/>
      <c r="B259" s="44"/>
      <c r="C259" s="31" t="str">
        <f t="array" ref="C259">IF(B259="","",IFERROR(INDEX(Listas!$Q$5:$Q$20,MATCH(B259,Listas!$P$5:$P$20,0)),""))</f>
        <v/>
      </c>
      <c r="D259" s="44"/>
      <c r="E259" s="44"/>
      <c r="F259" s="44"/>
      <c r="G259" s="44"/>
      <c r="H259" s="44"/>
      <c r="I259" s="49"/>
      <c r="J259" s="47"/>
      <c r="K259" s="50"/>
      <c r="L259" s="43" t="str">
        <f t="shared" si="1"/>
        <v/>
      </c>
      <c r="M259" s="44"/>
    </row>
    <row r="260" ht="15.75" customHeight="1">
      <c r="A260" s="48"/>
      <c r="B260" s="44"/>
      <c r="C260" s="31" t="str">
        <f t="array" ref="C260">IF(B260="","",IFERROR(INDEX(Listas!$Q$5:$Q$20,MATCH(B260,Listas!$P$5:$P$20,0)),""))</f>
        <v/>
      </c>
      <c r="D260" s="44"/>
      <c r="E260" s="44"/>
      <c r="F260" s="44"/>
      <c r="G260" s="44"/>
      <c r="H260" s="44"/>
      <c r="I260" s="49"/>
      <c r="J260" s="47"/>
      <c r="K260" s="50"/>
      <c r="L260" s="43" t="str">
        <f t="shared" si="1"/>
        <v/>
      </c>
      <c r="M260" s="44"/>
    </row>
    <row r="261" ht="15.75" customHeight="1">
      <c r="A261" s="48"/>
      <c r="B261" s="44"/>
      <c r="C261" s="31" t="str">
        <f t="array" ref="C261">IF(B261="","",IFERROR(INDEX(Listas!$Q$5:$Q$20,MATCH(B261,Listas!$P$5:$P$20,0)),""))</f>
        <v/>
      </c>
      <c r="D261" s="44"/>
      <c r="E261" s="44"/>
      <c r="F261" s="44"/>
      <c r="G261" s="44"/>
      <c r="H261" s="44"/>
      <c r="I261" s="49"/>
      <c r="J261" s="47"/>
      <c r="K261" s="50"/>
      <c r="L261" s="43" t="str">
        <f t="shared" si="1"/>
        <v/>
      </c>
      <c r="M261" s="44"/>
    </row>
    <row r="262" ht="15.75" customHeight="1">
      <c r="A262" s="48"/>
      <c r="B262" s="44"/>
      <c r="C262" s="31" t="str">
        <f t="array" ref="C262">IF(B262="","",IFERROR(INDEX(Listas!$Q$5:$Q$20,MATCH(B262,Listas!$P$5:$P$20,0)),""))</f>
        <v/>
      </c>
      <c r="D262" s="44"/>
      <c r="E262" s="44"/>
      <c r="F262" s="44"/>
      <c r="G262" s="44"/>
      <c r="H262" s="44"/>
      <c r="I262" s="49"/>
      <c r="J262" s="47"/>
      <c r="K262" s="50"/>
      <c r="L262" s="43" t="str">
        <f t="shared" si="1"/>
        <v/>
      </c>
      <c r="M262" s="44"/>
    </row>
    <row r="263" ht="15.75" customHeight="1">
      <c r="A263" s="48"/>
      <c r="B263" s="44"/>
      <c r="C263" s="31" t="str">
        <f t="array" ref="C263">IF(B263="","",IFERROR(INDEX(Listas!$Q$5:$Q$20,MATCH(B263,Listas!$P$5:$P$20,0)),""))</f>
        <v/>
      </c>
      <c r="D263" s="44"/>
      <c r="E263" s="44"/>
      <c r="F263" s="44"/>
      <c r="G263" s="44"/>
      <c r="H263" s="44"/>
      <c r="I263" s="49"/>
      <c r="J263" s="47"/>
      <c r="K263" s="50"/>
      <c r="L263" s="43" t="str">
        <f t="shared" si="1"/>
        <v/>
      </c>
      <c r="M263" s="44"/>
    </row>
    <row r="264" ht="15.75" customHeight="1">
      <c r="A264" s="48"/>
      <c r="B264" s="44"/>
      <c r="C264" s="31" t="str">
        <f t="array" ref="C264">IF(B264="","",IFERROR(INDEX(Listas!$Q$5:$Q$20,MATCH(B264,Listas!$P$5:$P$20,0)),""))</f>
        <v/>
      </c>
      <c r="D264" s="44"/>
      <c r="E264" s="44"/>
      <c r="F264" s="44"/>
      <c r="G264" s="44"/>
      <c r="H264" s="44"/>
      <c r="I264" s="49"/>
      <c r="J264" s="47"/>
      <c r="K264" s="50"/>
      <c r="L264" s="43" t="str">
        <f t="shared" si="1"/>
        <v/>
      </c>
      <c r="M264" s="44"/>
    </row>
    <row r="265" ht="15.75" customHeight="1">
      <c r="A265" s="48"/>
      <c r="B265" s="44"/>
      <c r="C265" s="31" t="str">
        <f t="array" ref="C265">IF(B265="","",IFERROR(INDEX(Listas!$Q$5:$Q$20,MATCH(B265,Listas!$P$5:$P$20,0)),""))</f>
        <v/>
      </c>
      <c r="D265" s="44"/>
      <c r="E265" s="44"/>
      <c r="F265" s="44"/>
      <c r="G265" s="44"/>
      <c r="H265" s="44"/>
      <c r="I265" s="49"/>
      <c r="J265" s="47"/>
      <c r="K265" s="50"/>
      <c r="L265" s="43" t="str">
        <f t="shared" si="1"/>
        <v/>
      </c>
      <c r="M265" s="44"/>
    </row>
    <row r="266" ht="15.75" customHeight="1">
      <c r="A266" s="48"/>
      <c r="B266" s="44"/>
      <c r="C266" s="31" t="str">
        <f t="array" ref="C266">IF(B266="","",IFERROR(INDEX(Listas!$Q$5:$Q$20,MATCH(B266,Listas!$P$5:$P$20,0)),""))</f>
        <v/>
      </c>
      <c r="D266" s="44"/>
      <c r="E266" s="44"/>
      <c r="F266" s="44"/>
      <c r="G266" s="44"/>
      <c r="H266" s="44"/>
      <c r="I266" s="49"/>
      <c r="J266" s="47"/>
      <c r="K266" s="50"/>
      <c r="L266" s="43" t="str">
        <f t="shared" si="1"/>
        <v/>
      </c>
      <c r="M266" s="44"/>
    </row>
    <row r="267" ht="15.75" customHeight="1">
      <c r="A267" s="48"/>
      <c r="B267" s="44"/>
      <c r="C267" s="31" t="str">
        <f t="array" ref="C267">IF(B267="","",IFERROR(INDEX(Listas!$Q$5:$Q$20,MATCH(B267,Listas!$P$5:$P$20,0)),""))</f>
        <v/>
      </c>
      <c r="D267" s="44"/>
      <c r="E267" s="44"/>
      <c r="F267" s="44"/>
      <c r="G267" s="44"/>
      <c r="H267" s="44"/>
      <c r="I267" s="49"/>
      <c r="J267" s="47"/>
      <c r="K267" s="50"/>
      <c r="L267" s="43" t="str">
        <f t="shared" si="1"/>
        <v/>
      </c>
      <c r="M267" s="44"/>
    </row>
    <row r="268" ht="15.75" customHeight="1">
      <c r="A268" s="48"/>
      <c r="B268" s="44"/>
      <c r="C268" s="31" t="str">
        <f t="array" ref="C268">IF(B268="","",IFERROR(INDEX(Listas!$Q$5:$Q$20,MATCH(B268,Listas!$P$5:$P$20,0)),""))</f>
        <v/>
      </c>
      <c r="D268" s="44"/>
      <c r="E268" s="44"/>
      <c r="F268" s="44"/>
      <c r="G268" s="44"/>
      <c r="H268" s="44"/>
      <c r="I268" s="49"/>
      <c r="J268" s="47"/>
      <c r="K268" s="50"/>
      <c r="L268" s="43" t="str">
        <f t="shared" si="1"/>
        <v/>
      </c>
      <c r="M268" s="44"/>
    </row>
    <row r="269" ht="15.75" customHeight="1">
      <c r="A269" s="48"/>
      <c r="B269" s="44"/>
      <c r="C269" s="31" t="str">
        <f t="array" ref="C269">IF(B269="","",IFERROR(INDEX(Listas!$Q$5:$Q$20,MATCH(B269,Listas!$P$5:$P$20,0)),""))</f>
        <v/>
      </c>
      <c r="D269" s="44"/>
      <c r="E269" s="44"/>
      <c r="F269" s="44"/>
      <c r="G269" s="44"/>
      <c r="H269" s="44"/>
      <c r="I269" s="49"/>
      <c r="J269" s="47"/>
      <c r="K269" s="50"/>
      <c r="L269" s="43" t="str">
        <f t="shared" si="1"/>
        <v/>
      </c>
      <c r="M269" s="44"/>
    </row>
    <row r="270" ht="15.75" customHeight="1">
      <c r="A270" s="48"/>
      <c r="B270" s="44"/>
      <c r="C270" s="31" t="str">
        <f t="array" ref="C270">IF(B270="","",IFERROR(INDEX(Listas!$Q$5:$Q$20,MATCH(B270,Listas!$P$5:$P$20,0)),""))</f>
        <v/>
      </c>
      <c r="D270" s="44"/>
      <c r="E270" s="44"/>
      <c r="F270" s="44"/>
      <c r="G270" s="44"/>
      <c r="H270" s="44"/>
      <c r="I270" s="49"/>
      <c r="J270" s="47"/>
      <c r="K270" s="50"/>
      <c r="L270" s="43" t="str">
        <f t="shared" si="1"/>
        <v/>
      </c>
      <c r="M270" s="44"/>
    </row>
    <row r="271" ht="15.75" customHeight="1">
      <c r="A271" s="48"/>
      <c r="B271" s="44"/>
      <c r="C271" s="31" t="str">
        <f t="array" ref="C271">IF(B271="","",IFERROR(INDEX(Listas!$Q$5:$Q$20,MATCH(B271,Listas!$P$5:$P$20,0)),""))</f>
        <v/>
      </c>
      <c r="D271" s="44"/>
      <c r="E271" s="44"/>
      <c r="F271" s="44"/>
      <c r="G271" s="44"/>
      <c r="H271" s="44"/>
      <c r="I271" s="49"/>
      <c r="J271" s="47"/>
      <c r="K271" s="50"/>
      <c r="L271" s="43" t="str">
        <f t="shared" si="1"/>
        <v/>
      </c>
      <c r="M271" s="44"/>
    </row>
    <row r="272" ht="15.75" customHeight="1">
      <c r="A272" s="48"/>
      <c r="B272" s="44"/>
      <c r="C272" s="31" t="str">
        <f t="array" ref="C272">IF(B272="","",IFERROR(INDEX(Listas!$Q$5:$Q$20,MATCH(B272,Listas!$P$5:$P$20,0)),""))</f>
        <v/>
      </c>
      <c r="D272" s="44"/>
      <c r="E272" s="44"/>
      <c r="F272" s="44"/>
      <c r="G272" s="44"/>
      <c r="H272" s="44"/>
      <c r="I272" s="49"/>
      <c r="J272" s="47"/>
      <c r="K272" s="50"/>
      <c r="L272" s="43" t="str">
        <f t="shared" si="1"/>
        <v/>
      </c>
      <c r="M272" s="44"/>
    </row>
    <row r="273" ht="15.75" customHeight="1">
      <c r="A273" s="48"/>
      <c r="B273" s="44"/>
      <c r="C273" s="31" t="str">
        <f t="array" ref="C273">IF(B273="","",IFERROR(INDEX(Listas!$Q$5:$Q$20,MATCH(B273,Listas!$P$5:$P$20,0)),""))</f>
        <v/>
      </c>
      <c r="D273" s="44"/>
      <c r="E273" s="44"/>
      <c r="F273" s="44"/>
      <c r="G273" s="44"/>
      <c r="H273" s="44"/>
      <c r="I273" s="49"/>
      <c r="J273" s="47"/>
      <c r="K273" s="50"/>
      <c r="L273" s="43" t="str">
        <f t="shared" si="1"/>
        <v/>
      </c>
      <c r="M273" s="44"/>
    </row>
    <row r="274" ht="15.75" customHeight="1">
      <c r="A274" s="48"/>
      <c r="B274" s="44"/>
      <c r="C274" s="31" t="str">
        <f t="array" ref="C274">IF(B274="","",IFERROR(INDEX(Listas!$Q$5:$Q$20,MATCH(B274,Listas!$P$5:$P$20,0)),""))</f>
        <v/>
      </c>
      <c r="D274" s="44"/>
      <c r="E274" s="44"/>
      <c r="F274" s="44"/>
      <c r="G274" s="44"/>
      <c r="H274" s="44"/>
      <c r="I274" s="49"/>
      <c r="J274" s="47"/>
      <c r="K274" s="50"/>
      <c r="L274" s="43" t="str">
        <f t="shared" si="1"/>
        <v/>
      </c>
      <c r="M274" s="44"/>
    </row>
    <row r="275" ht="15.75" customHeight="1">
      <c r="A275" s="48"/>
      <c r="B275" s="44"/>
      <c r="C275" s="31" t="str">
        <f t="array" ref="C275">IF(B275="","",IFERROR(INDEX(Listas!$Q$5:$Q$20,MATCH(B275,Listas!$P$5:$P$20,0)),""))</f>
        <v/>
      </c>
      <c r="D275" s="44"/>
      <c r="E275" s="44"/>
      <c r="F275" s="44"/>
      <c r="G275" s="44"/>
      <c r="H275" s="44"/>
      <c r="I275" s="49"/>
      <c r="J275" s="47"/>
      <c r="K275" s="50"/>
      <c r="L275" s="43" t="str">
        <f t="shared" si="1"/>
        <v/>
      </c>
      <c r="M275" s="44"/>
    </row>
    <row r="276" ht="15.75" customHeight="1">
      <c r="A276" s="48"/>
      <c r="B276" s="44"/>
      <c r="C276" s="31" t="str">
        <f t="array" ref="C276">IF(B276="","",IFERROR(INDEX(Listas!$Q$5:$Q$20,MATCH(B276,Listas!$P$5:$P$20,0)),""))</f>
        <v/>
      </c>
      <c r="D276" s="44"/>
      <c r="E276" s="44"/>
      <c r="F276" s="44"/>
      <c r="G276" s="44"/>
      <c r="H276" s="44"/>
      <c r="I276" s="49"/>
      <c r="J276" s="47"/>
      <c r="K276" s="50"/>
      <c r="L276" s="43" t="str">
        <f t="shared" si="1"/>
        <v/>
      </c>
      <c r="M276" s="44"/>
    </row>
    <row r="277" ht="15.75" customHeight="1">
      <c r="A277" s="48"/>
      <c r="B277" s="44"/>
      <c r="C277" s="31" t="str">
        <f t="array" ref="C277">IF(B277="","",IFERROR(INDEX(Listas!$Q$5:$Q$20,MATCH(B277,Listas!$P$5:$P$20,0)),""))</f>
        <v/>
      </c>
      <c r="D277" s="44"/>
      <c r="E277" s="44"/>
      <c r="F277" s="44"/>
      <c r="G277" s="44"/>
      <c r="H277" s="44"/>
      <c r="I277" s="49"/>
      <c r="J277" s="47"/>
      <c r="K277" s="50"/>
      <c r="L277" s="43" t="str">
        <f t="shared" si="1"/>
        <v/>
      </c>
      <c r="M277" s="44"/>
    </row>
    <row r="278" ht="15.75" customHeight="1">
      <c r="A278" s="48"/>
      <c r="B278" s="44"/>
      <c r="C278" s="31" t="str">
        <f t="array" ref="C278">IF(B278="","",IFERROR(INDEX(Listas!$Q$5:$Q$20,MATCH(B278,Listas!$P$5:$P$20,0)),""))</f>
        <v/>
      </c>
      <c r="D278" s="44"/>
      <c r="E278" s="44"/>
      <c r="F278" s="44"/>
      <c r="G278" s="44"/>
      <c r="H278" s="44"/>
      <c r="I278" s="49"/>
      <c r="J278" s="47"/>
      <c r="K278" s="50"/>
      <c r="L278" s="43" t="str">
        <f t="shared" si="1"/>
        <v/>
      </c>
      <c r="M278" s="44"/>
    </row>
    <row r="279" ht="15.75" customHeight="1">
      <c r="A279" s="48"/>
      <c r="B279" s="44"/>
      <c r="C279" s="31" t="str">
        <f t="array" ref="C279">IF(B279="","",IFERROR(INDEX(Listas!$Q$5:$Q$20,MATCH(B279,Listas!$P$5:$P$20,0)),""))</f>
        <v/>
      </c>
      <c r="D279" s="44"/>
      <c r="E279" s="44"/>
      <c r="F279" s="44"/>
      <c r="G279" s="44"/>
      <c r="H279" s="44"/>
      <c r="I279" s="49"/>
      <c r="J279" s="47"/>
      <c r="K279" s="50"/>
      <c r="L279" s="43" t="str">
        <f t="shared" si="1"/>
        <v/>
      </c>
      <c r="M279" s="44"/>
    </row>
    <row r="280" ht="15.75" customHeight="1">
      <c r="A280" s="48"/>
      <c r="B280" s="44"/>
      <c r="C280" s="31" t="str">
        <f t="array" ref="C280">IF(B280="","",IFERROR(INDEX(Listas!$Q$5:$Q$20,MATCH(B280,Listas!$P$5:$P$20,0)),""))</f>
        <v/>
      </c>
      <c r="D280" s="44"/>
      <c r="E280" s="44"/>
      <c r="F280" s="44"/>
      <c r="G280" s="44"/>
      <c r="H280" s="44"/>
      <c r="I280" s="49"/>
      <c r="J280" s="47"/>
      <c r="K280" s="50"/>
      <c r="L280" s="43" t="str">
        <f t="shared" si="1"/>
        <v/>
      </c>
      <c r="M280" s="44"/>
    </row>
    <row r="281" ht="15.75" customHeight="1">
      <c r="A281" s="48"/>
      <c r="B281" s="44"/>
      <c r="C281" s="31" t="str">
        <f t="array" ref="C281">IF(B281="","",IFERROR(INDEX(Listas!$Q$5:$Q$20,MATCH(B281,Listas!$P$5:$P$20,0)),""))</f>
        <v/>
      </c>
      <c r="D281" s="44"/>
      <c r="E281" s="44"/>
      <c r="F281" s="44"/>
      <c r="G281" s="44"/>
      <c r="H281" s="44"/>
      <c r="I281" s="49"/>
      <c r="J281" s="47"/>
      <c r="K281" s="50"/>
      <c r="L281" s="43" t="str">
        <f t="shared" si="1"/>
        <v/>
      </c>
      <c r="M281" s="44"/>
    </row>
    <row r="282" ht="15.75" customHeight="1">
      <c r="A282" s="48"/>
      <c r="B282" s="44"/>
      <c r="C282" s="31" t="str">
        <f t="array" ref="C282">IF(B282="","",IFERROR(INDEX(Listas!$Q$5:$Q$20,MATCH(B282,Listas!$P$5:$P$20,0)),""))</f>
        <v/>
      </c>
      <c r="D282" s="44"/>
      <c r="E282" s="44"/>
      <c r="F282" s="44"/>
      <c r="G282" s="44"/>
      <c r="H282" s="44"/>
      <c r="I282" s="49"/>
      <c r="J282" s="47"/>
      <c r="K282" s="50"/>
      <c r="L282" s="43" t="str">
        <f t="shared" si="1"/>
        <v/>
      </c>
      <c r="M282" s="44"/>
    </row>
    <row r="283" ht="15.75" customHeight="1">
      <c r="A283" s="48"/>
      <c r="B283" s="44"/>
      <c r="C283" s="31" t="str">
        <f t="array" ref="C283">IF(B283="","",IFERROR(INDEX(Listas!$Q$5:$Q$20,MATCH(B283,Listas!$P$5:$P$20,0)),""))</f>
        <v/>
      </c>
      <c r="D283" s="44"/>
      <c r="E283" s="44"/>
      <c r="F283" s="44"/>
      <c r="G283" s="44"/>
      <c r="H283" s="44"/>
      <c r="I283" s="49"/>
      <c r="J283" s="47"/>
      <c r="K283" s="50"/>
      <c r="L283" s="43" t="str">
        <f t="shared" si="1"/>
        <v/>
      </c>
      <c r="M283" s="44"/>
    </row>
    <row r="284" ht="15.75" customHeight="1">
      <c r="A284" s="48"/>
      <c r="B284" s="44"/>
      <c r="C284" s="31" t="str">
        <f t="array" ref="C284">IF(B284="","",IFERROR(INDEX(Listas!$Q$5:$Q$20,MATCH(B284,Listas!$P$5:$P$20,0)),""))</f>
        <v/>
      </c>
      <c r="D284" s="44"/>
      <c r="E284" s="44"/>
      <c r="F284" s="44"/>
      <c r="G284" s="44"/>
      <c r="H284" s="44"/>
      <c r="I284" s="49"/>
      <c r="J284" s="47"/>
      <c r="K284" s="50"/>
      <c r="L284" s="43" t="str">
        <f t="shared" si="1"/>
        <v/>
      </c>
      <c r="M284" s="44"/>
    </row>
    <row r="285" ht="15.75" customHeight="1">
      <c r="A285" s="48"/>
      <c r="B285" s="44"/>
      <c r="C285" s="31" t="str">
        <f t="array" ref="C285">IF(B285="","",IFERROR(INDEX(Listas!$Q$5:$Q$20,MATCH(B285,Listas!$P$5:$P$20,0)),""))</f>
        <v/>
      </c>
      <c r="D285" s="44"/>
      <c r="E285" s="44"/>
      <c r="F285" s="44"/>
      <c r="G285" s="44"/>
      <c r="H285" s="44"/>
      <c r="I285" s="49"/>
      <c r="J285" s="47"/>
      <c r="K285" s="50"/>
      <c r="L285" s="43" t="str">
        <f t="shared" si="1"/>
        <v/>
      </c>
      <c r="M285" s="44"/>
    </row>
    <row r="286" ht="15.75" customHeight="1">
      <c r="A286" s="48"/>
      <c r="B286" s="44"/>
      <c r="C286" s="31" t="str">
        <f t="array" ref="C286">IF(B286="","",IFERROR(INDEX(Listas!$Q$5:$Q$20,MATCH(B286,Listas!$P$5:$P$20,0)),""))</f>
        <v/>
      </c>
      <c r="D286" s="44"/>
      <c r="E286" s="44"/>
      <c r="F286" s="44"/>
      <c r="G286" s="44"/>
      <c r="H286" s="44"/>
      <c r="I286" s="49"/>
      <c r="J286" s="47"/>
      <c r="K286" s="50"/>
      <c r="L286" s="43" t="str">
        <f t="shared" si="1"/>
        <v/>
      </c>
      <c r="M286" s="44"/>
    </row>
    <row r="287" ht="15.75" customHeight="1">
      <c r="A287" s="48"/>
      <c r="B287" s="44"/>
      <c r="C287" s="31" t="str">
        <f t="array" ref="C287">IF(B287="","",IFERROR(INDEX(Listas!$Q$5:$Q$20,MATCH(B287,Listas!$P$5:$P$20,0)),""))</f>
        <v/>
      </c>
      <c r="D287" s="44"/>
      <c r="E287" s="44"/>
      <c r="F287" s="44"/>
      <c r="G287" s="44"/>
      <c r="H287" s="44"/>
      <c r="I287" s="49"/>
      <c r="J287" s="47"/>
      <c r="K287" s="50"/>
      <c r="L287" s="43" t="str">
        <f t="shared" si="1"/>
        <v/>
      </c>
      <c r="M287" s="44"/>
    </row>
    <row r="288" ht="15.75" customHeight="1">
      <c r="A288" s="48"/>
      <c r="B288" s="44"/>
      <c r="C288" s="31" t="str">
        <f t="array" ref="C288">IF(B288="","",IFERROR(INDEX(Listas!$Q$5:$Q$20,MATCH(B288,Listas!$P$5:$P$20,0)),""))</f>
        <v/>
      </c>
      <c r="D288" s="44"/>
      <c r="E288" s="44"/>
      <c r="F288" s="44"/>
      <c r="G288" s="44"/>
      <c r="H288" s="44"/>
      <c r="I288" s="49"/>
      <c r="J288" s="47"/>
      <c r="K288" s="50"/>
      <c r="L288" s="43" t="str">
        <f t="shared" si="1"/>
        <v/>
      </c>
      <c r="M288" s="44"/>
    </row>
    <row r="289" ht="15.75" customHeight="1">
      <c r="A289" s="48"/>
      <c r="B289" s="44"/>
      <c r="C289" s="31" t="str">
        <f t="array" ref="C289">IF(B289="","",IFERROR(INDEX(Listas!$Q$5:$Q$20,MATCH(B289,Listas!$P$5:$P$20,0)),""))</f>
        <v/>
      </c>
      <c r="D289" s="44"/>
      <c r="E289" s="44"/>
      <c r="F289" s="44"/>
      <c r="G289" s="44"/>
      <c r="H289" s="44"/>
      <c r="I289" s="49"/>
      <c r="J289" s="47"/>
      <c r="K289" s="50"/>
      <c r="L289" s="43" t="str">
        <f t="shared" si="1"/>
        <v/>
      </c>
      <c r="M289" s="44"/>
    </row>
    <row r="290" ht="15.75" customHeight="1">
      <c r="A290" s="48"/>
      <c r="B290" s="44"/>
      <c r="C290" s="31" t="str">
        <f t="array" ref="C290">IF(B290="","",IFERROR(INDEX(Listas!$Q$5:$Q$20,MATCH(B290,Listas!$P$5:$P$20,0)),""))</f>
        <v/>
      </c>
      <c r="D290" s="44"/>
      <c r="E290" s="44"/>
      <c r="F290" s="44"/>
      <c r="G290" s="44"/>
      <c r="H290" s="44"/>
      <c r="I290" s="49"/>
      <c r="J290" s="47"/>
      <c r="K290" s="50"/>
      <c r="L290" s="43" t="str">
        <f t="shared" si="1"/>
        <v/>
      </c>
      <c r="M290" s="44"/>
    </row>
    <row r="291" ht="15.75" customHeight="1">
      <c r="A291" s="48"/>
      <c r="B291" s="44"/>
      <c r="C291" s="31" t="str">
        <f t="array" ref="C291">IF(B291="","",IFERROR(INDEX(Listas!$Q$5:$Q$20,MATCH(B291,Listas!$P$5:$P$20,0)),""))</f>
        <v/>
      </c>
      <c r="D291" s="44"/>
      <c r="E291" s="44"/>
      <c r="F291" s="44"/>
      <c r="G291" s="44"/>
      <c r="H291" s="44"/>
      <c r="I291" s="49"/>
      <c r="J291" s="47"/>
      <c r="K291" s="50"/>
      <c r="L291" s="43" t="str">
        <f t="shared" si="1"/>
        <v/>
      </c>
      <c r="M291" s="44"/>
    </row>
    <row r="292" ht="15.75" customHeight="1">
      <c r="A292" s="48"/>
      <c r="B292" s="44"/>
      <c r="C292" s="31" t="str">
        <f t="array" ref="C292">IF(B292="","",IFERROR(INDEX(Listas!$Q$5:$Q$20,MATCH(B292,Listas!$P$5:$P$20,0)),""))</f>
        <v/>
      </c>
      <c r="D292" s="44"/>
      <c r="E292" s="44"/>
      <c r="F292" s="44"/>
      <c r="G292" s="44"/>
      <c r="H292" s="44"/>
      <c r="I292" s="49"/>
      <c r="J292" s="47"/>
      <c r="K292" s="50"/>
      <c r="L292" s="43" t="str">
        <f t="shared" si="1"/>
        <v/>
      </c>
      <c r="M292" s="44"/>
    </row>
    <row r="293" ht="15.75" customHeight="1">
      <c r="A293" s="48"/>
      <c r="B293" s="44"/>
      <c r="C293" s="31" t="str">
        <f t="array" ref="C293">IF(B293="","",IFERROR(INDEX(Listas!$Q$5:$Q$20,MATCH(B293,Listas!$P$5:$P$20,0)),""))</f>
        <v/>
      </c>
      <c r="D293" s="44"/>
      <c r="E293" s="44"/>
      <c r="F293" s="44"/>
      <c r="G293" s="44"/>
      <c r="H293" s="44"/>
      <c r="I293" s="49"/>
      <c r="J293" s="47"/>
      <c r="K293" s="50"/>
      <c r="L293" s="43" t="str">
        <f t="shared" si="1"/>
        <v/>
      </c>
      <c r="M293" s="44"/>
    </row>
    <row r="294" ht="15.75" customHeight="1">
      <c r="A294" s="48"/>
      <c r="B294" s="44"/>
      <c r="C294" s="31" t="str">
        <f t="array" ref="C294">IF(B294="","",IFERROR(INDEX(Listas!$Q$5:$Q$20,MATCH(B294,Listas!$P$5:$P$20,0)),""))</f>
        <v/>
      </c>
      <c r="D294" s="44"/>
      <c r="E294" s="44"/>
      <c r="F294" s="44"/>
      <c r="G294" s="44"/>
      <c r="H294" s="44"/>
      <c r="I294" s="49"/>
      <c r="J294" s="47"/>
      <c r="K294" s="50"/>
      <c r="L294" s="43" t="str">
        <f t="shared" si="1"/>
        <v/>
      </c>
      <c r="M294" s="44"/>
    </row>
    <row r="295" ht="15.75" customHeight="1">
      <c r="A295" s="48"/>
      <c r="B295" s="44"/>
      <c r="C295" s="31" t="str">
        <f t="array" ref="C295">IF(B295="","",IFERROR(INDEX(Listas!$Q$5:$Q$20,MATCH(B295,Listas!$P$5:$P$20,0)),""))</f>
        <v/>
      </c>
      <c r="D295" s="44"/>
      <c r="E295" s="44"/>
      <c r="F295" s="44"/>
      <c r="G295" s="44"/>
      <c r="H295" s="44"/>
      <c r="I295" s="49"/>
      <c r="J295" s="47"/>
      <c r="K295" s="50"/>
      <c r="L295" s="43" t="str">
        <f t="shared" si="1"/>
        <v/>
      </c>
      <c r="M295" s="44"/>
    </row>
    <row r="296" ht="15.75" customHeight="1">
      <c r="A296" s="48"/>
      <c r="B296" s="44"/>
      <c r="C296" s="31" t="str">
        <f t="array" ref="C296">IF(B296="","",IFERROR(INDEX(Listas!$Q$5:$Q$20,MATCH(B296,Listas!$P$5:$P$20,0)),""))</f>
        <v/>
      </c>
      <c r="D296" s="44"/>
      <c r="E296" s="44"/>
      <c r="F296" s="44"/>
      <c r="G296" s="44"/>
      <c r="H296" s="44"/>
      <c r="I296" s="49"/>
      <c r="J296" s="47"/>
      <c r="K296" s="50"/>
      <c r="L296" s="43" t="str">
        <f t="shared" si="1"/>
        <v/>
      </c>
      <c r="M296" s="44"/>
    </row>
    <row r="297" ht="15.75" customHeight="1">
      <c r="A297" s="48"/>
      <c r="B297" s="44"/>
      <c r="C297" s="31" t="str">
        <f t="array" ref="C297">IF(B297="","",IFERROR(INDEX(Listas!$Q$5:$Q$20,MATCH(B297,Listas!$P$5:$P$20,0)),""))</f>
        <v/>
      </c>
      <c r="D297" s="44"/>
      <c r="E297" s="44"/>
      <c r="F297" s="44"/>
      <c r="G297" s="44"/>
      <c r="H297" s="44"/>
      <c r="I297" s="49"/>
      <c r="J297" s="47"/>
      <c r="K297" s="50"/>
      <c r="L297" s="43" t="str">
        <f t="shared" si="1"/>
        <v/>
      </c>
      <c r="M297" s="44"/>
    </row>
    <row r="298" ht="15.75" customHeight="1">
      <c r="A298" s="48"/>
      <c r="B298" s="44"/>
      <c r="C298" s="31" t="str">
        <f t="array" ref="C298">IF(B298="","",IFERROR(INDEX(Listas!$Q$5:$Q$20,MATCH(B298,Listas!$P$5:$P$20,0)),""))</f>
        <v/>
      </c>
      <c r="D298" s="44"/>
      <c r="E298" s="44"/>
      <c r="F298" s="44"/>
      <c r="G298" s="44"/>
      <c r="H298" s="44"/>
      <c r="I298" s="49"/>
      <c r="J298" s="47"/>
      <c r="K298" s="50"/>
      <c r="L298" s="43" t="str">
        <f t="shared" si="1"/>
        <v/>
      </c>
      <c r="M298" s="44"/>
    </row>
    <row r="299" ht="15.75" customHeight="1">
      <c r="A299" s="48"/>
      <c r="B299" s="44"/>
      <c r="C299" s="31" t="str">
        <f t="array" ref="C299">IF(B299="","",IFERROR(INDEX(Listas!$Q$5:$Q$20,MATCH(B299,Listas!$P$5:$P$20,0)),""))</f>
        <v/>
      </c>
      <c r="D299" s="44"/>
      <c r="E299" s="44"/>
      <c r="F299" s="44"/>
      <c r="G299" s="44"/>
      <c r="H299" s="44"/>
      <c r="I299" s="49"/>
      <c r="J299" s="47"/>
      <c r="K299" s="50"/>
      <c r="L299" s="43" t="str">
        <f t="shared" si="1"/>
        <v/>
      </c>
      <c r="M299" s="44"/>
    </row>
    <row r="300" ht="15.75" customHeight="1">
      <c r="A300" s="48"/>
      <c r="B300" s="44"/>
      <c r="C300" s="31" t="str">
        <f t="array" ref="C300">IF(B300="","",IFERROR(INDEX(Listas!$Q$5:$Q$20,MATCH(B300,Listas!$P$5:$P$20,0)),""))</f>
        <v/>
      </c>
      <c r="D300" s="44"/>
      <c r="E300" s="44"/>
      <c r="F300" s="44"/>
      <c r="G300" s="44"/>
      <c r="H300" s="44"/>
      <c r="I300" s="49"/>
      <c r="J300" s="47"/>
      <c r="K300" s="50"/>
      <c r="L300" s="43" t="str">
        <f t="shared" si="1"/>
        <v/>
      </c>
      <c r="M300" s="44"/>
    </row>
    <row r="301" ht="15.75" customHeight="1">
      <c r="A301" s="48"/>
      <c r="B301" s="44"/>
      <c r="C301" s="31" t="str">
        <f t="array" ref="C301">IF(B301="","",IFERROR(INDEX(Listas!$Q$5:$Q$20,MATCH(B301,Listas!$P$5:$P$20,0)),""))</f>
        <v/>
      </c>
      <c r="D301" s="44"/>
      <c r="E301" s="44"/>
      <c r="F301" s="44"/>
      <c r="G301" s="44"/>
      <c r="H301" s="44"/>
      <c r="I301" s="49"/>
      <c r="J301" s="47"/>
      <c r="K301" s="50"/>
      <c r="L301" s="43" t="str">
        <f t="shared" si="1"/>
        <v/>
      </c>
      <c r="M301" s="44"/>
    </row>
    <row r="302" ht="15.75" customHeight="1">
      <c r="A302" s="48"/>
      <c r="B302" s="44"/>
      <c r="C302" s="31" t="str">
        <f t="array" ref="C302">IF(B302="","",IFERROR(INDEX(Listas!$Q$5:$Q$20,MATCH(B302,Listas!$P$5:$P$20,0)),""))</f>
        <v/>
      </c>
      <c r="D302" s="44"/>
      <c r="E302" s="44"/>
      <c r="F302" s="44"/>
      <c r="G302" s="44"/>
      <c r="H302" s="44"/>
      <c r="I302" s="49"/>
      <c r="J302" s="47"/>
      <c r="K302" s="50"/>
      <c r="L302" s="43" t="str">
        <f t="shared" si="1"/>
        <v/>
      </c>
      <c r="M302" s="44"/>
    </row>
    <row r="303" ht="15.75" customHeight="1">
      <c r="A303" s="48"/>
      <c r="B303" s="44"/>
      <c r="C303" s="31" t="str">
        <f t="array" ref="C303">IF(B303="","",IFERROR(INDEX(Listas!$Q$5:$Q$20,MATCH(B303,Listas!$P$5:$P$20,0)),""))</f>
        <v/>
      </c>
      <c r="D303" s="44"/>
      <c r="E303" s="44"/>
      <c r="F303" s="44"/>
      <c r="G303" s="44"/>
      <c r="H303" s="44"/>
      <c r="I303" s="49"/>
      <c r="J303" s="47"/>
      <c r="K303" s="50"/>
      <c r="L303" s="43" t="str">
        <f t="shared" si="1"/>
        <v/>
      </c>
      <c r="M303" s="44"/>
    </row>
    <row r="304" ht="15.75" customHeight="1">
      <c r="A304" s="48"/>
      <c r="B304" s="44"/>
      <c r="C304" s="31" t="str">
        <f t="array" ref="C304">IF(B304="","",IFERROR(INDEX(Listas!$Q$5:$Q$20,MATCH(B304,Listas!$P$5:$P$20,0)),""))</f>
        <v/>
      </c>
      <c r="D304" s="44"/>
      <c r="E304" s="44"/>
      <c r="F304" s="44"/>
      <c r="G304" s="44"/>
      <c r="H304" s="44"/>
      <c r="I304" s="49"/>
      <c r="J304" s="47"/>
      <c r="K304" s="50"/>
      <c r="L304" s="43" t="str">
        <f t="shared" si="1"/>
        <v/>
      </c>
      <c r="M304" s="44"/>
    </row>
    <row r="305" ht="15.75" customHeight="1">
      <c r="A305" s="48"/>
      <c r="B305" s="44"/>
      <c r="C305" s="31" t="str">
        <f t="array" ref="C305">IF(B305="","",IFERROR(INDEX(Listas!$Q$5:$Q$20,MATCH(B305,Listas!$P$5:$P$20,0)),""))</f>
        <v/>
      </c>
      <c r="D305" s="44"/>
      <c r="E305" s="44"/>
      <c r="F305" s="44"/>
      <c r="G305" s="44"/>
      <c r="H305" s="44"/>
      <c r="I305" s="49"/>
      <c r="J305" s="47"/>
      <c r="K305" s="50"/>
      <c r="L305" s="43" t="str">
        <f t="shared" si="1"/>
        <v/>
      </c>
      <c r="M305" s="44"/>
    </row>
    <row r="306" ht="15.75" customHeight="1">
      <c r="A306" s="48"/>
      <c r="B306" s="44"/>
      <c r="C306" s="31" t="str">
        <f t="array" ref="C306">IF(B306="","",IFERROR(INDEX(Listas!$Q$5:$Q$20,MATCH(B306,Listas!$P$5:$P$20,0)),""))</f>
        <v/>
      </c>
      <c r="D306" s="44"/>
      <c r="E306" s="44"/>
      <c r="F306" s="44"/>
      <c r="G306" s="44"/>
      <c r="H306" s="44"/>
      <c r="I306" s="49"/>
      <c r="J306" s="47"/>
      <c r="K306" s="50"/>
      <c r="L306" s="43" t="str">
        <f t="shared" si="1"/>
        <v/>
      </c>
      <c r="M306" s="44"/>
    </row>
    <row r="307" ht="15.75" customHeight="1">
      <c r="A307" s="48"/>
      <c r="B307" s="44"/>
      <c r="C307" s="31" t="str">
        <f t="array" ref="C307">IF(B307="","",IFERROR(INDEX(Listas!$Q$5:$Q$20,MATCH(B307,Listas!$P$5:$P$20,0)),""))</f>
        <v/>
      </c>
      <c r="D307" s="44"/>
      <c r="E307" s="44"/>
      <c r="F307" s="44"/>
      <c r="G307" s="44"/>
      <c r="H307" s="44"/>
      <c r="I307" s="49"/>
      <c r="J307" s="47"/>
      <c r="K307" s="50"/>
      <c r="L307" s="43" t="str">
        <f t="shared" si="1"/>
        <v/>
      </c>
      <c r="M307" s="44"/>
    </row>
    <row r="308" ht="15.75" customHeight="1">
      <c r="A308" s="48"/>
      <c r="B308" s="44"/>
      <c r="C308" s="31" t="str">
        <f t="array" ref="C308">IF(B308="","",IFERROR(INDEX(Listas!$Q$5:$Q$20,MATCH(B308,Listas!$P$5:$P$20,0)),""))</f>
        <v/>
      </c>
      <c r="D308" s="44"/>
      <c r="E308" s="44"/>
      <c r="F308" s="44"/>
      <c r="G308" s="44"/>
      <c r="H308" s="44"/>
      <c r="I308" s="49"/>
      <c r="J308" s="47"/>
      <c r="K308" s="50"/>
      <c r="L308" s="43" t="str">
        <f t="shared" si="1"/>
        <v/>
      </c>
      <c r="M308" s="44"/>
    </row>
    <row r="309" ht="15.75" customHeight="1">
      <c r="A309" s="48"/>
      <c r="B309" s="44"/>
      <c r="C309" s="31" t="str">
        <f t="array" ref="C309">IF(B309="","",IFERROR(INDEX(Listas!$Q$5:$Q$20,MATCH(B309,Listas!$P$5:$P$20,0)),""))</f>
        <v/>
      </c>
      <c r="D309" s="44"/>
      <c r="E309" s="44"/>
      <c r="F309" s="44"/>
      <c r="G309" s="44"/>
      <c r="H309" s="44"/>
      <c r="I309" s="49"/>
      <c r="J309" s="47"/>
      <c r="K309" s="50"/>
      <c r="L309" s="43" t="str">
        <f t="shared" si="1"/>
        <v/>
      </c>
      <c r="M309" s="44"/>
    </row>
    <row r="310" ht="15.75" customHeight="1">
      <c r="A310" s="48"/>
      <c r="B310" s="44"/>
      <c r="C310" s="31" t="str">
        <f t="array" ref="C310">IF(B310="","",IFERROR(INDEX(Listas!$Q$5:$Q$20,MATCH(B310,Listas!$P$5:$P$20,0)),""))</f>
        <v/>
      </c>
      <c r="D310" s="44"/>
      <c r="E310" s="44"/>
      <c r="F310" s="44"/>
      <c r="G310" s="44"/>
      <c r="H310" s="44"/>
      <c r="I310" s="49"/>
      <c r="J310" s="47"/>
      <c r="K310" s="50"/>
      <c r="L310" s="43" t="str">
        <f t="shared" si="1"/>
        <v/>
      </c>
      <c r="M310" s="44"/>
    </row>
    <row r="311" ht="15.75" customHeight="1">
      <c r="A311" s="48"/>
      <c r="B311" s="44"/>
      <c r="C311" s="31" t="str">
        <f t="array" ref="C311">IF(B311="","",IFERROR(INDEX(Listas!$Q$5:$Q$20,MATCH(B311,Listas!$P$5:$P$20,0)),""))</f>
        <v/>
      </c>
      <c r="D311" s="44"/>
      <c r="E311" s="44"/>
      <c r="F311" s="44"/>
      <c r="G311" s="44"/>
      <c r="H311" s="44"/>
      <c r="I311" s="49"/>
      <c r="J311" s="47"/>
      <c r="K311" s="50"/>
      <c r="L311" s="43" t="str">
        <f t="shared" si="1"/>
        <v/>
      </c>
      <c r="M311" s="44"/>
    </row>
    <row r="312" ht="15.75" customHeight="1">
      <c r="A312" s="48"/>
      <c r="B312" s="44"/>
      <c r="C312" s="31" t="str">
        <f t="array" ref="C312">IF(B312="","",IFERROR(INDEX(Listas!$Q$5:$Q$20,MATCH(B312,Listas!$P$5:$P$20,0)),""))</f>
        <v/>
      </c>
      <c r="D312" s="44"/>
      <c r="E312" s="44"/>
      <c r="F312" s="44"/>
      <c r="G312" s="44"/>
      <c r="H312" s="44"/>
      <c r="I312" s="49"/>
      <c r="J312" s="47"/>
      <c r="K312" s="50"/>
      <c r="L312" s="43" t="str">
        <f t="shared" si="1"/>
        <v/>
      </c>
      <c r="M312" s="44"/>
    </row>
    <row r="313" ht="15.75" customHeight="1">
      <c r="A313" s="48"/>
      <c r="B313" s="44"/>
      <c r="C313" s="31" t="str">
        <f t="array" ref="C313">IF(B313="","",IFERROR(INDEX(Listas!$Q$5:$Q$20,MATCH(B313,Listas!$P$5:$P$20,0)),""))</f>
        <v/>
      </c>
      <c r="D313" s="44"/>
      <c r="E313" s="44"/>
      <c r="F313" s="44"/>
      <c r="G313" s="44"/>
      <c r="H313" s="44"/>
      <c r="I313" s="49"/>
      <c r="J313" s="47"/>
      <c r="K313" s="50"/>
      <c r="L313" s="43" t="str">
        <f t="shared" si="1"/>
        <v/>
      </c>
      <c r="M313" s="44"/>
    </row>
    <row r="314" ht="15.75" customHeight="1">
      <c r="A314" s="48"/>
      <c r="B314" s="44"/>
      <c r="C314" s="31" t="str">
        <f t="array" ref="C314">IF(B314="","",IFERROR(INDEX(Listas!$Q$5:$Q$20,MATCH(B314,Listas!$P$5:$P$20,0)),""))</f>
        <v/>
      </c>
      <c r="D314" s="44"/>
      <c r="E314" s="44"/>
      <c r="F314" s="44"/>
      <c r="G314" s="44"/>
      <c r="H314" s="44"/>
      <c r="I314" s="49"/>
      <c r="J314" s="47"/>
      <c r="K314" s="50"/>
      <c r="L314" s="43" t="str">
        <f t="shared" si="1"/>
        <v/>
      </c>
      <c r="M314" s="44"/>
    </row>
    <row r="315" ht="15.75" customHeight="1">
      <c r="A315" s="48"/>
      <c r="B315" s="44"/>
      <c r="C315" s="31" t="str">
        <f t="array" ref="C315">IF(B315="","",IFERROR(INDEX(Listas!$Q$5:$Q$20,MATCH(B315,Listas!$P$5:$P$20,0)),""))</f>
        <v/>
      </c>
      <c r="D315" s="44"/>
      <c r="E315" s="44"/>
      <c r="F315" s="44"/>
      <c r="G315" s="44"/>
      <c r="H315" s="44"/>
      <c r="I315" s="49"/>
      <c r="J315" s="47"/>
      <c r="K315" s="50"/>
      <c r="L315" s="43" t="str">
        <f t="shared" si="1"/>
        <v/>
      </c>
      <c r="M315" s="44"/>
    </row>
    <row r="316" ht="15.75" customHeight="1">
      <c r="A316" s="48"/>
      <c r="B316" s="44"/>
      <c r="C316" s="31" t="str">
        <f t="array" ref="C316">IF(B316="","",IFERROR(INDEX(Listas!$Q$5:$Q$20,MATCH(B316,Listas!$P$5:$P$20,0)),""))</f>
        <v/>
      </c>
      <c r="D316" s="44"/>
      <c r="E316" s="44"/>
      <c r="F316" s="44"/>
      <c r="G316" s="44"/>
      <c r="H316" s="44"/>
      <c r="I316" s="49"/>
      <c r="J316" s="47"/>
      <c r="K316" s="50"/>
      <c r="L316" s="43" t="str">
        <f t="shared" si="1"/>
        <v/>
      </c>
      <c r="M316" s="44"/>
    </row>
    <row r="317" ht="15.75" customHeight="1">
      <c r="A317" s="48"/>
      <c r="B317" s="44"/>
      <c r="C317" s="31" t="str">
        <f t="array" ref="C317">IF(B317="","",IFERROR(INDEX(Listas!$Q$5:$Q$20,MATCH(B317,Listas!$P$5:$P$20,0)),""))</f>
        <v/>
      </c>
      <c r="D317" s="44"/>
      <c r="E317" s="44"/>
      <c r="F317" s="44"/>
      <c r="G317" s="44"/>
      <c r="H317" s="44"/>
      <c r="I317" s="49"/>
      <c r="J317" s="47"/>
      <c r="K317" s="50"/>
      <c r="L317" s="43" t="str">
        <f t="shared" si="1"/>
        <v/>
      </c>
      <c r="M317" s="44"/>
    </row>
    <row r="318" ht="15.75" customHeight="1">
      <c r="A318" s="48"/>
      <c r="B318" s="44"/>
      <c r="C318" s="31" t="str">
        <f t="array" ref="C318">IF(B318="","",IFERROR(INDEX(Listas!$Q$5:$Q$20,MATCH(B318,Listas!$P$5:$P$20,0)),""))</f>
        <v/>
      </c>
      <c r="D318" s="44"/>
      <c r="E318" s="44"/>
      <c r="F318" s="44"/>
      <c r="G318" s="44"/>
      <c r="H318" s="44"/>
      <c r="I318" s="49"/>
      <c r="J318" s="47"/>
      <c r="K318" s="50"/>
      <c r="L318" s="43" t="str">
        <f t="shared" si="1"/>
        <v/>
      </c>
      <c r="M318" s="44"/>
    </row>
    <row r="319" ht="15.75" customHeight="1">
      <c r="A319" s="48"/>
      <c r="B319" s="44"/>
      <c r="C319" s="31" t="str">
        <f t="array" ref="C319">IF(B319="","",IFERROR(INDEX(Listas!$Q$5:$Q$20,MATCH(B319,Listas!$P$5:$P$20,0)),""))</f>
        <v/>
      </c>
      <c r="D319" s="44"/>
      <c r="E319" s="44"/>
      <c r="F319" s="44"/>
      <c r="G319" s="44"/>
      <c r="H319" s="44"/>
      <c r="I319" s="49"/>
      <c r="J319" s="47"/>
      <c r="K319" s="50"/>
      <c r="L319" s="43" t="str">
        <f t="shared" si="1"/>
        <v/>
      </c>
      <c r="M319" s="44"/>
    </row>
    <row r="320" ht="15.75" customHeight="1">
      <c r="A320" s="48"/>
      <c r="B320" s="44"/>
      <c r="C320" s="31" t="str">
        <f t="array" ref="C320">IF(B320="","",IFERROR(INDEX(Listas!$Q$5:$Q$20,MATCH(B320,Listas!$P$5:$P$20,0)),""))</f>
        <v/>
      </c>
      <c r="D320" s="44"/>
      <c r="E320" s="44"/>
      <c r="F320" s="44"/>
      <c r="G320" s="44"/>
      <c r="H320" s="44"/>
      <c r="I320" s="49"/>
      <c r="J320" s="47"/>
      <c r="K320" s="50"/>
      <c r="L320" s="43" t="str">
        <f t="shared" si="1"/>
        <v/>
      </c>
      <c r="M320" s="44"/>
    </row>
    <row r="321" ht="15.75" customHeight="1">
      <c r="A321" s="48"/>
      <c r="B321" s="44"/>
      <c r="C321" s="31" t="str">
        <f t="array" ref="C321">IF(B321="","",IFERROR(INDEX(Listas!$Q$5:$Q$20,MATCH(B321,Listas!$P$5:$P$20,0)),""))</f>
        <v/>
      </c>
      <c r="D321" s="44"/>
      <c r="E321" s="44"/>
      <c r="F321" s="44"/>
      <c r="G321" s="44"/>
      <c r="H321" s="44"/>
      <c r="I321" s="49"/>
      <c r="J321" s="47"/>
      <c r="K321" s="50"/>
      <c r="L321" s="43" t="str">
        <f t="shared" si="1"/>
        <v/>
      </c>
      <c r="M321" s="44"/>
    </row>
    <row r="322" ht="15.75" customHeight="1">
      <c r="A322" s="48"/>
      <c r="B322" s="44"/>
      <c r="C322" s="31" t="str">
        <f t="array" ref="C322">IF(B322="","",IFERROR(INDEX(Listas!$Q$5:$Q$20,MATCH(B322,Listas!$P$5:$P$20,0)),""))</f>
        <v/>
      </c>
      <c r="D322" s="44"/>
      <c r="E322" s="44"/>
      <c r="F322" s="44"/>
      <c r="G322" s="44"/>
      <c r="H322" s="44"/>
      <c r="I322" s="49"/>
      <c r="J322" s="47"/>
      <c r="K322" s="50"/>
      <c r="L322" s="43" t="str">
        <f t="shared" si="1"/>
        <v/>
      </c>
      <c r="M322" s="44"/>
    </row>
    <row r="323" ht="15.75" customHeight="1">
      <c r="A323" s="48"/>
      <c r="B323" s="44"/>
      <c r="C323" s="31" t="str">
        <f t="array" ref="C323">IF(B323="","",IFERROR(INDEX(Listas!$Q$5:$Q$20,MATCH(B323,Listas!$P$5:$P$20,0)),""))</f>
        <v/>
      </c>
      <c r="D323" s="44"/>
      <c r="E323" s="44"/>
      <c r="F323" s="44"/>
      <c r="G323" s="44"/>
      <c r="H323" s="44"/>
      <c r="I323" s="49"/>
      <c r="J323" s="47"/>
      <c r="K323" s="50"/>
      <c r="L323" s="43" t="str">
        <f t="shared" si="1"/>
        <v/>
      </c>
      <c r="M323" s="44"/>
    </row>
    <row r="324" ht="15.75" customHeight="1">
      <c r="A324" s="48"/>
      <c r="B324" s="44"/>
      <c r="C324" s="31" t="str">
        <f t="array" ref="C324">IF(B324="","",IFERROR(INDEX(Listas!$Q$5:$Q$20,MATCH(B324,Listas!$P$5:$P$20,0)),""))</f>
        <v/>
      </c>
      <c r="D324" s="44"/>
      <c r="E324" s="44"/>
      <c r="F324" s="44"/>
      <c r="G324" s="44"/>
      <c r="H324" s="44"/>
      <c r="I324" s="49"/>
      <c r="J324" s="47"/>
      <c r="K324" s="50"/>
      <c r="L324" s="43" t="str">
        <f t="shared" si="1"/>
        <v/>
      </c>
      <c r="M324" s="44"/>
    </row>
    <row r="325" ht="15.75" customHeight="1">
      <c r="A325" s="48"/>
      <c r="B325" s="44"/>
      <c r="C325" s="31" t="str">
        <f t="array" ref="C325">IF(B325="","",IFERROR(INDEX(Listas!$Q$5:$Q$20,MATCH(B325,Listas!$P$5:$P$20,0)),""))</f>
        <v/>
      </c>
      <c r="D325" s="44"/>
      <c r="E325" s="44"/>
      <c r="F325" s="44"/>
      <c r="G325" s="44"/>
      <c r="H325" s="44"/>
      <c r="I325" s="49"/>
      <c r="J325" s="47"/>
      <c r="K325" s="50"/>
      <c r="L325" s="43" t="str">
        <f t="shared" si="1"/>
        <v/>
      </c>
      <c r="M325" s="44"/>
    </row>
    <row r="326" ht="15.75" customHeight="1">
      <c r="A326" s="48"/>
      <c r="B326" s="44"/>
      <c r="C326" s="31" t="str">
        <f t="array" ref="C326">IF(B326="","",IFERROR(INDEX(Listas!$Q$5:$Q$20,MATCH(B326,Listas!$P$5:$P$20,0)),""))</f>
        <v/>
      </c>
      <c r="D326" s="44"/>
      <c r="E326" s="44"/>
      <c r="F326" s="44"/>
      <c r="G326" s="44"/>
      <c r="H326" s="44"/>
      <c r="I326" s="49"/>
      <c r="J326" s="47"/>
      <c r="K326" s="50"/>
      <c r="L326" s="43" t="str">
        <f t="shared" si="1"/>
        <v/>
      </c>
      <c r="M326" s="44"/>
    </row>
    <row r="327" ht="15.75" customHeight="1">
      <c r="A327" s="48"/>
      <c r="B327" s="44"/>
      <c r="C327" s="31" t="str">
        <f t="array" ref="C327">IF(B327="","",IFERROR(INDEX(Listas!$Q$5:$Q$20,MATCH(B327,Listas!$P$5:$P$20,0)),""))</f>
        <v/>
      </c>
      <c r="D327" s="44"/>
      <c r="E327" s="44"/>
      <c r="F327" s="44"/>
      <c r="G327" s="44"/>
      <c r="H327" s="44"/>
      <c r="I327" s="49"/>
      <c r="J327" s="47"/>
      <c r="K327" s="50"/>
      <c r="L327" s="43" t="str">
        <f t="shared" si="1"/>
        <v/>
      </c>
      <c r="M327" s="44"/>
    </row>
    <row r="328" ht="15.75" customHeight="1">
      <c r="A328" s="48"/>
      <c r="B328" s="44"/>
      <c r="C328" s="31" t="str">
        <f t="array" ref="C328">IF(B328="","",IFERROR(INDEX(Listas!$Q$5:$Q$20,MATCH(B328,Listas!$P$5:$P$20,0)),""))</f>
        <v/>
      </c>
      <c r="D328" s="44"/>
      <c r="E328" s="44"/>
      <c r="F328" s="44"/>
      <c r="G328" s="44"/>
      <c r="H328" s="44"/>
      <c r="I328" s="49"/>
      <c r="J328" s="47"/>
      <c r="K328" s="50"/>
      <c r="L328" s="43" t="str">
        <f t="shared" si="1"/>
        <v/>
      </c>
      <c r="M328" s="44"/>
    </row>
    <row r="329" ht="15.75" customHeight="1">
      <c r="A329" s="48"/>
      <c r="B329" s="44"/>
      <c r="C329" s="31" t="str">
        <f t="array" ref="C329">IF(B329="","",IFERROR(INDEX(Listas!$Q$5:$Q$20,MATCH(B329,Listas!$P$5:$P$20,0)),""))</f>
        <v/>
      </c>
      <c r="D329" s="44"/>
      <c r="E329" s="44"/>
      <c r="F329" s="44"/>
      <c r="G329" s="44"/>
      <c r="H329" s="44"/>
      <c r="I329" s="49"/>
      <c r="J329" s="47"/>
      <c r="K329" s="50"/>
      <c r="L329" s="43" t="str">
        <f t="shared" si="1"/>
        <v/>
      </c>
      <c r="M329" s="44"/>
    </row>
    <row r="330" ht="15.75" customHeight="1">
      <c r="A330" s="48"/>
      <c r="B330" s="44"/>
      <c r="C330" s="31" t="str">
        <f t="array" ref="C330">IF(B330="","",IFERROR(INDEX(Listas!$Q$5:$Q$20,MATCH(B330,Listas!$P$5:$P$20,0)),""))</f>
        <v/>
      </c>
      <c r="D330" s="44"/>
      <c r="E330" s="44"/>
      <c r="F330" s="44"/>
      <c r="G330" s="44"/>
      <c r="H330" s="44"/>
      <c r="I330" s="49"/>
      <c r="J330" s="47"/>
      <c r="K330" s="50"/>
      <c r="L330" s="43" t="str">
        <f t="shared" si="1"/>
        <v/>
      </c>
      <c r="M330" s="44"/>
    </row>
    <row r="331" ht="15.75" customHeight="1">
      <c r="A331" s="48"/>
      <c r="B331" s="44"/>
      <c r="C331" s="31" t="str">
        <f t="array" ref="C331">IF(B331="","",IFERROR(INDEX(Listas!$Q$5:$Q$20,MATCH(B331,Listas!$P$5:$P$20,0)),""))</f>
        <v/>
      </c>
      <c r="D331" s="44"/>
      <c r="E331" s="44"/>
      <c r="F331" s="44"/>
      <c r="G331" s="44"/>
      <c r="H331" s="44"/>
      <c r="I331" s="49"/>
      <c r="J331" s="47"/>
      <c r="K331" s="50"/>
      <c r="L331" s="43" t="str">
        <f t="shared" si="1"/>
        <v/>
      </c>
      <c r="M331" s="44"/>
    </row>
    <row r="332" ht="15.75" customHeight="1">
      <c r="A332" s="48"/>
      <c r="B332" s="44"/>
      <c r="C332" s="31" t="str">
        <f t="array" ref="C332">IF(B332="","",IFERROR(INDEX(Listas!$Q$5:$Q$20,MATCH(B332,Listas!$P$5:$P$20,0)),""))</f>
        <v/>
      </c>
      <c r="D332" s="44"/>
      <c r="E332" s="44"/>
      <c r="F332" s="44"/>
      <c r="G332" s="44"/>
      <c r="H332" s="44"/>
      <c r="I332" s="49"/>
      <c r="J332" s="47"/>
      <c r="K332" s="50"/>
      <c r="L332" s="43" t="str">
        <f t="shared" si="1"/>
        <v/>
      </c>
      <c r="M332" s="44"/>
    </row>
    <row r="333" ht="15.75" customHeight="1">
      <c r="A333" s="48"/>
      <c r="B333" s="44"/>
      <c r="C333" s="31" t="str">
        <f t="array" ref="C333">IF(B333="","",IFERROR(INDEX(Listas!$Q$5:$Q$20,MATCH(B333,Listas!$P$5:$P$20,0)),""))</f>
        <v/>
      </c>
      <c r="D333" s="44"/>
      <c r="E333" s="44"/>
      <c r="F333" s="44"/>
      <c r="G333" s="44"/>
      <c r="H333" s="44"/>
      <c r="I333" s="49"/>
      <c r="J333" s="47"/>
      <c r="K333" s="50"/>
      <c r="L333" s="43" t="str">
        <f t="shared" si="1"/>
        <v/>
      </c>
      <c r="M333" s="44"/>
    </row>
    <row r="334" ht="15.75" customHeight="1">
      <c r="A334" s="48"/>
      <c r="B334" s="44"/>
      <c r="C334" s="31" t="str">
        <f t="array" ref="C334">IF(B334="","",IFERROR(INDEX(Listas!$Q$5:$Q$20,MATCH(B334,Listas!$P$5:$P$20,0)),""))</f>
        <v/>
      </c>
      <c r="D334" s="44"/>
      <c r="E334" s="44"/>
      <c r="F334" s="44"/>
      <c r="G334" s="44"/>
      <c r="H334" s="44"/>
      <c r="I334" s="49"/>
      <c r="J334" s="47"/>
      <c r="K334" s="50"/>
      <c r="L334" s="43" t="str">
        <f t="shared" si="1"/>
        <v/>
      </c>
      <c r="M334" s="44"/>
    </row>
    <row r="335" ht="15.75" customHeight="1">
      <c r="A335" s="48"/>
      <c r="B335" s="44"/>
      <c r="C335" s="31" t="str">
        <f t="array" ref="C335">IF(B335="","",IFERROR(INDEX(Listas!$Q$5:$Q$20,MATCH(B335,Listas!$P$5:$P$20,0)),""))</f>
        <v/>
      </c>
      <c r="D335" s="44"/>
      <c r="E335" s="44"/>
      <c r="F335" s="44"/>
      <c r="G335" s="44"/>
      <c r="H335" s="44"/>
      <c r="I335" s="49"/>
      <c r="J335" s="47"/>
      <c r="K335" s="50"/>
      <c r="L335" s="43" t="str">
        <f t="shared" si="1"/>
        <v/>
      </c>
      <c r="M335" s="44"/>
    </row>
    <row r="336" ht="15.75" customHeight="1">
      <c r="A336" s="48"/>
      <c r="B336" s="44"/>
      <c r="C336" s="31" t="str">
        <f t="array" ref="C336">IF(B336="","",IFERROR(INDEX(Listas!$Q$5:$Q$20,MATCH(B336,Listas!$P$5:$P$20,0)),""))</f>
        <v/>
      </c>
      <c r="D336" s="44"/>
      <c r="E336" s="44"/>
      <c r="F336" s="44"/>
      <c r="G336" s="44"/>
      <c r="H336" s="44"/>
      <c r="I336" s="49"/>
      <c r="J336" s="47"/>
      <c r="K336" s="50"/>
      <c r="L336" s="43" t="str">
        <f t="shared" si="1"/>
        <v/>
      </c>
      <c r="M336" s="44"/>
    </row>
    <row r="337" ht="15.75" customHeight="1">
      <c r="A337" s="48"/>
      <c r="B337" s="44"/>
      <c r="C337" s="31" t="str">
        <f t="array" ref="C337">IF(B337="","",IFERROR(INDEX(Listas!$Q$5:$Q$20,MATCH(B337,Listas!$P$5:$P$20,0)),""))</f>
        <v/>
      </c>
      <c r="D337" s="44"/>
      <c r="E337" s="44"/>
      <c r="F337" s="44"/>
      <c r="G337" s="44"/>
      <c r="H337" s="44"/>
      <c r="I337" s="49"/>
      <c r="J337" s="47"/>
      <c r="K337" s="50"/>
      <c r="L337" s="43" t="str">
        <f t="shared" si="1"/>
        <v/>
      </c>
      <c r="M337" s="44"/>
    </row>
    <row r="338" ht="15.75" customHeight="1">
      <c r="A338" s="48"/>
      <c r="B338" s="44"/>
      <c r="C338" s="31" t="str">
        <f t="array" ref="C338">IF(B338="","",IFERROR(INDEX(Listas!$Q$5:$Q$20,MATCH(B338,Listas!$P$5:$P$20,0)),""))</f>
        <v/>
      </c>
      <c r="D338" s="44"/>
      <c r="E338" s="44"/>
      <c r="F338" s="44"/>
      <c r="G338" s="44"/>
      <c r="H338" s="44"/>
      <c r="I338" s="49"/>
      <c r="J338" s="47"/>
      <c r="K338" s="50"/>
      <c r="L338" s="43" t="str">
        <f t="shared" si="1"/>
        <v/>
      </c>
      <c r="M338" s="44"/>
    </row>
    <row r="339" ht="15.75" customHeight="1">
      <c r="A339" s="48"/>
      <c r="B339" s="44"/>
      <c r="C339" s="31" t="str">
        <f t="array" ref="C339">IF(B339="","",IFERROR(INDEX(Listas!$Q$5:$Q$20,MATCH(B339,Listas!$P$5:$P$20,0)),""))</f>
        <v/>
      </c>
      <c r="D339" s="44"/>
      <c r="E339" s="44"/>
      <c r="F339" s="44"/>
      <c r="G339" s="44"/>
      <c r="H339" s="44"/>
      <c r="I339" s="49"/>
      <c r="J339" s="47"/>
      <c r="K339" s="50"/>
      <c r="L339" s="43" t="str">
        <f t="shared" si="1"/>
        <v/>
      </c>
      <c r="M339" s="44"/>
    </row>
    <row r="340" ht="15.75" customHeight="1">
      <c r="A340" s="48"/>
      <c r="B340" s="44"/>
      <c r="C340" s="31" t="str">
        <f t="array" ref="C340">IF(B340="","",IFERROR(INDEX(Listas!$Q$5:$Q$20,MATCH(B340,Listas!$P$5:$P$20,0)),""))</f>
        <v/>
      </c>
      <c r="D340" s="44"/>
      <c r="E340" s="44"/>
      <c r="F340" s="44"/>
      <c r="G340" s="44"/>
      <c r="H340" s="44"/>
      <c r="I340" s="49"/>
      <c r="J340" s="47"/>
      <c r="K340" s="50"/>
      <c r="L340" s="43" t="str">
        <f t="shared" si="1"/>
        <v/>
      </c>
      <c r="M340" s="44"/>
    </row>
    <row r="341" ht="15.75" customHeight="1">
      <c r="A341" s="48"/>
      <c r="B341" s="44"/>
      <c r="C341" s="31" t="str">
        <f t="array" ref="C341">IF(B341="","",IFERROR(INDEX(Listas!$Q$5:$Q$20,MATCH(B341,Listas!$P$5:$P$20,0)),""))</f>
        <v/>
      </c>
      <c r="D341" s="44"/>
      <c r="E341" s="44"/>
      <c r="F341" s="44"/>
      <c r="G341" s="44"/>
      <c r="H341" s="44"/>
      <c r="I341" s="49"/>
      <c r="J341" s="47"/>
      <c r="K341" s="50"/>
      <c r="L341" s="43" t="str">
        <f t="shared" si="1"/>
        <v/>
      </c>
      <c r="M341" s="44"/>
    </row>
    <row r="342" ht="15.75" customHeight="1">
      <c r="A342" s="48"/>
      <c r="B342" s="44"/>
      <c r="C342" s="31" t="str">
        <f t="array" ref="C342">IF(B342="","",IFERROR(INDEX(Listas!$Q$5:$Q$20,MATCH(B342,Listas!$P$5:$P$20,0)),""))</f>
        <v/>
      </c>
      <c r="D342" s="44"/>
      <c r="E342" s="44"/>
      <c r="F342" s="44"/>
      <c r="G342" s="44"/>
      <c r="H342" s="44"/>
      <c r="I342" s="49"/>
      <c r="J342" s="47"/>
      <c r="K342" s="50"/>
      <c r="L342" s="43" t="str">
        <f t="shared" si="1"/>
        <v/>
      </c>
      <c r="M342" s="44"/>
    </row>
    <row r="343" ht="15.75" customHeight="1">
      <c r="A343" s="48"/>
      <c r="B343" s="44"/>
      <c r="C343" s="31" t="str">
        <f t="array" ref="C343">IF(B343="","",IFERROR(INDEX(Listas!$Q$5:$Q$20,MATCH(B343,Listas!$P$5:$P$20,0)),""))</f>
        <v/>
      </c>
      <c r="D343" s="44"/>
      <c r="E343" s="44"/>
      <c r="F343" s="44"/>
      <c r="G343" s="44"/>
      <c r="H343" s="44"/>
      <c r="I343" s="49"/>
      <c r="J343" s="47"/>
      <c r="K343" s="50"/>
      <c r="L343" s="43" t="str">
        <f t="shared" si="1"/>
        <v/>
      </c>
      <c r="M343" s="44"/>
    </row>
    <row r="344" ht="15.75" customHeight="1">
      <c r="A344" s="48"/>
      <c r="B344" s="44"/>
      <c r="C344" s="31" t="str">
        <f t="array" ref="C344">IF(B344="","",IFERROR(INDEX(Listas!$Q$5:$Q$20,MATCH(B344,Listas!$P$5:$P$20,0)),""))</f>
        <v/>
      </c>
      <c r="D344" s="44"/>
      <c r="E344" s="44"/>
      <c r="F344" s="44"/>
      <c r="G344" s="44"/>
      <c r="H344" s="44"/>
      <c r="I344" s="49"/>
      <c r="J344" s="47"/>
      <c r="K344" s="50"/>
      <c r="L344" s="43" t="str">
        <f t="shared" si="1"/>
        <v/>
      </c>
      <c r="M344" s="44"/>
    </row>
    <row r="345" ht="15.75" customHeight="1">
      <c r="A345" s="48"/>
      <c r="B345" s="44"/>
      <c r="C345" s="31" t="str">
        <f t="array" ref="C345">IF(B345="","",IFERROR(INDEX(Listas!$Q$5:$Q$20,MATCH(B345,Listas!$P$5:$P$20,0)),""))</f>
        <v/>
      </c>
      <c r="D345" s="44"/>
      <c r="E345" s="44"/>
      <c r="F345" s="44"/>
      <c r="G345" s="44"/>
      <c r="H345" s="44"/>
      <c r="I345" s="49"/>
      <c r="J345" s="47"/>
      <c r="K345" s="50"/>
      <c r="L345" s="43" t="str">
        <f t="shared" si="1"/>
        <v/>
      </c>
      <c r="M345" s="44"/>
    </row>
    <row r="346" ht="15.75" customHeight="1">
      <c r="A346" s="48"/>
      <c r="B346" s="44"/>
      <c r="C346" s="31" t="str">
        <f t="array" ref="C346">IF(B346="","",IFERROR(INDEX(Listas!$Q$5:$Q$20,MATCH(B346,Listas!$P$5:$P$20,0)),""))</f>
        <v/>
      </c>
      <c r="D346" s="44"/>
      <c r="E346" s="44"/>
      <c r="F346" s="44"/>
      <c r="G346" s="44"/>
      <c r="H346" s="44"/>
      <c r="I346" s="49"/>
      <c r="J346" s="47"/>
      <c r="K346" s="50"/>
      <c r="L346" s="43" t="str">
        <f t="shared" si="1"/>
        <v/>
      </c>
      <c r="M346" s="44"/>
    </row>
    <row r="347" ht="15.75" customHeight="1">
      <c r="A347" s="48"/>
      <c r="B347" s="44"/>
      <c r="C347" s="31" t="str">
        <f t="array" ref="C347">IF(B347="","",IFERROR(INDEX(Listas!$Q$5:$Q$20,MATCH(B347,Listas!$P$5:$P$20,0)),""))</f>
        <v/>
      </c>
      <c r="D347" s="44"/>
      <c r="E347" s="44"/>
      <c r="F347" s="44"/>
      <c r="G347" s="44"/>
      <c r="H347" s="44"/>
      <c r="I347" s="49"/>
      <c r="J347" s="47"/>
      <c r="K347" s="50"/>
      <c r="L347" s="43" t="str">
        <f t="shared" si="1"/>
        <v/>
      </c>
      <c r="M347" s="44"/>
    </row>
    <row r="348" ht="15.75" customHeight="1">
      <c r="A348" s="48"/>
      <c r="B348" s="44"/>
      <c r="C348" s="31" t="str">
        <f t="array" ref="C348">IF(B348="","",IFERROR(INDEX(Listas!$Q$5:$Q$20,MATCH(B348,Listas!$P$5:$P$20,0)),""))</f>
        <v/>
      </c>
      <c r="D348" s="44"/>
      <c r="E348" s="44"/>
      <c r="F348" s="44"/>
      <c r="G348" s="44"/>
      <c r="H348" s="44"/>
      <c r="I348" s="49"/>
      <c r="J348" s="47"/>
      <c r="K348" s="50"/>
      <c r="L348" s="43" t="str">
        <f t="shared" si="1"/>
        <v/>
      </c>
      <c r="M348" s="44"/>
    </row>
    <row r="349" ht="15.75" customHeight="1">
      <c r="A349" s="48"/>
      <c r="B349" s="44"/>
      <c r="C349" s="31" t="str">
        <f t="array" ref="C349">IF(B349="","",IFERROR(INDEX(Listas!$Q$5:$Q$20,MATCH(B349,Listas!$P$5:$P$20,0)),""))</f>
        <v/>
      </c>
      <c r="D349" s="44"/>
      <c r="E349" s="44"/>
      <c r="F349" s="44"/>
      <c r="G349" s="44"/>
      <c r="H349" s="44"/>
      <c r="I349" s="49"/>
      <c r="J349" s="47"/>
      <c r="K349" s="50"/>
      <c r="L349" s="43" t="str">
        <f t="shared" si="1"/>
        <v/>
      </c>
      <c r="M349" s="44"/>
    </row>
    <row r="350" ht="15.75" customHeight="1">
      <c r="A350" s="48"/>
      <c r="B350" s="44"/>
      <c r="C350" s="31" t="str">
        <f t="array" ref="C350">IF(B350="","",IFERROR(INDEX(Listas!$Q$5:$Q$20,MATCH(B350,Listas!$P$5:$P$20,0)),""))</f>
        <v/>
      </c>
      <c r="D350" s="44"/>
      <c r="E350" s="44"/>
      <c r="F350" s="44"/>
      <c r="G350" s="44"/>
      <c r="H350" s="44"/>
      <c r="I350" s="49"/>
      <c r="J350" s="47"/>
      <c r="K350" s="50"/>
      <c r="L350" s="43" t="str">
        <f t="shared" si="1"/>
        <v/>
      </c>
      <c r="M350" s="44"/>
    </row>
    <row r="351" ht="15.75" customHeight="1">
      <c r="A351" s="48"/>
      <c r="B351" s="44"/>
      <c r="C351" s="31" t="str">
        <f t="array" ref="C351">IF(B351="","",IFERROR(INDEX(Listas!$Q$5:$Q$20,MATCH(B351,Listas!$P$5:$P$20,0)),""))</f>
        <v/>
      </c>
      <c r="D351" s="44"/>
      <c r="E351" s="44"/>
      <c r="F351" s="44"/>
      <c r="G351" s="44"/>
      <c r="H351" s="44"/>
      <c r="I351" s="49"/>
      <c r="J351" s="47"/>
      <c r="K351" s="50"/>
      <c r="L351" s="43" t="str">
        <f t="shared" si="1"/>
        <v/>
      </c>
      <c r="M351" s="44"/>
    </row>
    <row r="352" ht="15.75" customHeight="1">
      <c r="A352" s="48"/>
      <c r="B352" s="44"/>
      <c r="C352" s="31" t="str">
        <f t="array" ref="C352">IF(B352="","",IFERROR(INDEX(Listas!$Q$5:$Q$20,MATCH(B352,Listas!$P$5:$P$20,0)),""))</f>
        <v/>
      </c>
      <c r="D352" s="44"/>
      <c r="E352" s="44"/>
      <c r="F352" s="44"/>
      <c r="G352" s="44"/>
      <c r="H352" s="44"/>
      <c r="I352" s="49"/>
      <c r="J352" s="47"/>
      <c r="K352" s="50"/>
      <c r="L352" s="43" t="str">
        <f t="shared" si="1"/>
        <v/>
      </c>
      <c r="M352" s="44"/>
    </row>
    <row r="353" ht="15.75" customHeight="1">
      <c r="A353" s="48"/>
      <c r="B353" s="44"/>
      <c r="C353" s="31" t="str">
        <f t="array" ref="C353">IF(B353="","",IFERROR(INDEX(Listas!$Q$5:$Q$20,MATCH(B353,Listas!$P$5:$P$20,0)),""))</f>
        <v/>
      </c>
      <c r="D353" s="44"/>
      <c r="E353" s="44"/>
      <c r="F353" s="44"/>
      <c r="G353" s="44"/>
      <c r="H353" s="44"/>
      <c r="I353" s="49"/>
      <c r="J353" s="47"/>
      <c r="K353" s="50"/>
      <c r="L353" s="43" t="str">
        <f t="shared" si="1"/>
        <v/>
      </c>
      <c r="M353" s="44"/>
    </row>
    <row r="354" ht="15.75" customHeight="1">
      <c r="A354" s="48"/>
      <c r="B354" s="44"/>
      <c r="C354" s="31" t="str">
        <f t="array" ref="C354">IF(B354="","",IFERROR(INDEX(Listas!$Q$5:$Q$20,MATCH(B354,Listas!$P$5:$P$20,0)),""))</f>
        <v/>
      </c>
      <c r="D354" s="44"/>
      <c r="E354" s="44"/>
      <c r="F354" s="44"/>
      <c r="G354" s="44"/>
      <c r="H354" s="44"/>
      <c r="I354" s="49"/>
      <c r="J354" s="47"/>
      <c r="K354" s="50"/>
      <c r="L354" s="43" t="str">
        <f t="shared" si="1"/>
        <v/>
      </c>
      <c r="M354" s="44"/>
    </row>
    <row r="355" ht="15.75" customHeight="1">
      <c r="A355" s="48"/>
      <c r="B355" s="44"/>
      <c r="C355" s="31" t="str">
        <f t="array" ref="C355">IF(B355="","",IFERROR(INDEX(Listas!$Q$5:$Q$20,MATCH(B355,Listas!$P$5:$P$20,0)),""))</f>
        <v/>
      </c>
      <c r="D355" s="44"/>
      <c r="E355" s="44"/>
      <c r="F355" s="44"/>
      <c r="G355" s="44"/>
      <c r="H355" s="44"/>
      <c r="I355" s="49"/>
      <c r="J355" s="47"/>
      <c r="K355" s="50"/>
      <c r="L355" s="43" t="str">
        <f t="shared" si="1"/>
        <v/>
      </c>
      <c r="M355" s="44"/>
    </row>
    <row r="356" ht="15.75" customHeight="1">
      <c r="A356" s="48"/>
      <c r="B356" s="44"/>
      <c r="C356" s="31" t="str">
        <f t="array" ref="C356">IF(B356="","",IFERROR(INDEX(Listas!$Q$5:$Q$20,MATCH(B356,Listas!$P$5:$P$20,0)),""))</f>
        <v/>
      </c>
      <c r="D356" s="44"/>
      <c r="E356" s="44"/>
      <c r="F356" s="44"/>
      <c r="G356" s="44"/>
      <c r="H356" s="44"/>
      <c r="I356" s="49"/>
      <c r="J356" s="47"/>
      <c r="K356" s="50"/>
      <c r="L356" s="43" t="str">
        <f t="shared" si="1"/>
        <v/>
      </c>
      <c r="M356" s="44"/>
    </row>
    <row r="357" ht="15.75" customHeight="1">
      <c r="A357" s="48"/>
      <c r="B357" s="44"/>
      <c r="C357" s="31" t="str">
        <f t="array" ref="C357">IF(B357="","",IFERROR(INDEX(Listas!$Q$5:$Q$20,MATCH(B357,Listas!$P$5:$P$20,0)),""))</f>
        <v/>
      </c>
      <c r="D357" s="44"/>
      <c r="E357" s="44"/>
      <c r="F357" s="44"/>
      <c r="G357" s="44"/>
      <c r="H357" s="44"/>
      <c r="I357" s="49"/>
      <c r="J357" s="47"/>
      <c r="K357" s="50"/>
      <c r="L357" s="43" t="str">
        <f t="shared" si="1"/>
        <v/>
      </c>
      <c r="M357" s="44"/>
    </row>
    <row r="358" ht="15.75" customHeight="1">
      <c r="A358" s="48"/>
      <c r="B358" s="44"/>
      <c r="C358" s="31" t="str">
        <f t="array" ref="C358">IF(B358="","",IFERROR(INDEX(Listas!$Q$5:$Q$20,MATCH(B358,Listas!$P$5:$P$20,0)),""))</f>
        <v/>
      </c>
      <c r="D358" s="44"/>
      <c r="E358" s="44"/>
      <c r="F358" s="44"/>
      <c r="G358" s="44"/>
      <c r="H358" s="44"/>
      <c r="I358" s="49"/>
      <c r="J358" s="47"/>
      <c r="K358" s="50"/>
      <c r="L358" s="43" t="str">
        <f t="shared" si="1"/>
        <v/>
      </c>
      <c r="M358" s="44"/>
    </row>
    <row r="359" ht="15.75" customHeight="1">
      <c r="A359" s="48"/>
      <c r="B359" s="44"/>
      <c r="C359" s="31" t="str">
        <f t="array" ref="C359">IF(B359="","",IFERROR(INDEX(Listas!$Q$5:$Q$20,MATCH(B359,Listas!$P$5:$P$20,0)),""))</f>
        <v/>
      </c>
      <c r="D359" s="44"/>
      <c r="E359" s="44"/>
      <c r="F359" s="44"/>
      <c r="G359" s="44"/>
      <c r="H359" s="44"/>
      <c r="I359" s="49"/>
      <c r="J359" s="47"/>
      <c r="K359" s="50"/>
      <c r="L359" s="43" t="str">
        <f t="shared" si="1"/>
        <v/>
      </c>
      <c r="M359" s="44"/>
    </row>
    <row r="360" ht="15.75" customHeight="1">
      <c r="A360" s="48"/>
      <c r="B360" s="44"/>
      <c r="C360" s="31" t="str">
        <f t="array" ref="C360">IF(B360="","",IFERROR(INDEX(Listas!$Q$5:$Q$20,MATCH(B360,Listas!$P$5:$P$20,0)),""))</f>
        <v/>
      </c>
      <c r="D360" s="44"/>
      <c r="E360" s="44"/>
      <c r="F360" s="44"/>
      <c r="G360" s="44"/>
      <c r="H360" s="44"/>
      <c r="I360" s="49"/>
      <c r="J360" s="47"/>
      <c r="K360" s="50"/>
      <c r="L360" s="43" t="str">
        <f t="shared" si="1"/>
        <v/>
      </c>
      <c r="M360" s="44"/>
    </row>
    <row r="361" ht="15.75" customHeight="1">
      <c r="A361" s="48"/>
      <c r="B361" s="44"/>
      <c r="C361" s="31" t="str">
        <f t="array" ref="C361">IF(B361="","",IFERROR(INDEX(Listas!$Q$5:$Q$20,MATCH(B361,Listas!$P$5:$P$20,0)),""))</f>
        <v/>
      </c>
      <c r="D361" s="44"/>
      <c r="E361" s="44"/>
      <c r="F361" s="44"/>
      <c r="G361" s="44"/>
      <c r="H361" s="44"/>
      <c r="I361" s="49"/>
      <c r="J361" s="47"/>
      <c r="K361" s="50"/>
      <c r="L361" s="43" t="str">
        <f t="shared" si="1"/>
        <v/>
      </c>
      <c r="M361" s="44"/>
    </row>
    <row r="362" ht="15.75" customHeight="1">
      <c r="A362" s="48"/>
      <c r="B362" s="44"/>
      <c r="C362" s="31" t="str">
        <f t="array" ref="C362">IF(B362="","",IFERROR(INDEX(Listas!$Q$5:$Q$20,MATCH(B362,Listas!$P$5:$P$20,0)),""))</f>
        <v/>
      </c>
      <c r="D362" s="44"/>
      <c r="E362" s="44"/>
      <c r="F362" s="44"/>
      <c r="G362" s="44"/>
      <c r="H362" s="44"/>
      <c r="I362" s="49"/>
      <c r="J362" s="47"/>
      <c r="K362" s="50"/>
      <c r="L362" s="43" t="str">
        <f t="shared" si="1"/>
        <v/>
      </c>
      <c r="M362" s="44"/>
    </row>
    <row r="363" ht="15.75" customHeight="1">
      <c r="A363" s="48"/>
      <c r="B363" s="44"/>
      <c r="C363" s="31" t="str">
        <f t="array" ref="C363">IF(B363="","",IFERROR(INDEX(Listas!$Q$5:$Q$20,MATCH(B363,Listas!$P$5:$P$20,0)),""))</f>
        <v/>
      </c>
      <c r="D363" s="44"/>
      <c r="E363" s="44"/>
      <c r="F363" s="44"/>
      <c r="G363" s="44"/>
      <c r="H363" s="44"/>
      <c r="I363" s="49"/>
      <c r="J363" s="47"/>
      <c r="K363" s="50"/>
      <c r="L363" s="43" t="str">
        <f t="shared" si="1"/>
        <v/>
      </c>
      <c r="M363" s="44"/>
    </row>
    <row r="364" ht="15.75" customHeight="1">
      <c r="A364" s="48"/>
      <c r="B364" s="44"/>
      <c r="C364" s="31" t="str">
        <f t="array" ref="C364">IF(B364="","",IFERROR(INDEX(Listas!$Q$5:$Q$20,MATCH(B364,Listas!$P$5:$P$20,0)),""))</f>
        <v/>
      </c>
      <c r="D364" s="44"/>
      <c r="E364" s="44"/>
      <c r="F364" s="44"/>
      <c r="G364" s="44"/>
      <c r="H364" s="44"/>
      <c r="I364" s="49"/>
      <c r="J364" s="47"/>
      <c r="K364" s="50"/>
      <c r="L364" s="43" t="str">
        <f t="shared" si="1"/>
        <v/>
      </c>
      <c r="M364" s="44"/>
    </row>
    <row r="365" ht="15.75" customHeight="1">
      <c r="A365" s="48"/>
      <c r="B365" s="44"/>
      <c r="C365" s="31" t="str">
        <f t="array" ref="C365">IF(B365="","",IFERROR(INDEX(Listas!$Q$5:$Q$20,MATCH(B365,Listas!$P$5:$P$20,0)),""))</f>
        <v/>
      </c>
      <c r="D365" s="44"/>
      <c r="E365" s="44"/>
      <c r="F365" s="44"/>
      <c r="G365" s="44"/>
      <c r="H365" s="44"/>
      <c r="I365" s="49"/>
      <c r="J365" s="47"/>
      <c r="K365" s="50"/>
      <c r="L365" s="43" t="str">
        <f t="shared" si="1"/>
        <v/>
      </c>
      <c r="M365" s="44"/>
    </row>
    <row r="366" ht="15.75" customHeight="1">
      <c r="A366" s="48"/>
      <c r="B366" s="44"/>
      <c r="C366" s="31" t="str">
        <f t="array" ref="C366">IF(B366="","",IFERROR(INDEX(Listas!$Q$5:$Q$20,MATCH(B366,Listas!$P$5:$P$20,0)),""))</f>
        <v/>
      </c>
      <c r="D366" s="44"/>
      <c r="E366" s="44"/>
      <c r="F366" s="44"/>
      <c r="G366" s="44"/>
      <c r="H366" s="44"/>
      <c r="I366" s="49"/>
      <c r="J366" s="47"/>
      <c r="K366" s="50"/>
      <c r="L366" s="43" t="str">
        <f t="shared" si="1"/>
        <v/>
      </c>
      <c r="M366" s="44"/>
    </row>
    <row r="367" ht="15.75" customHeight="1">
      <c r="A367" s="48"/>
      <c r="B367" s="44"/>
      <c r="C367" s="31" t="str">
        <f t="array" ref="C367">IF(B367="","",IFERROR(INDEX(Listas!$Q$5:$Q$20,MATCH(B367,Listas!$P$5:$P$20,0)),""))</f>
        <v/>
      </c>
      <c r="D367" s="44"/>
      <c r="E367" s="44"/>
      <c r="F367" s="44"/>
      <c r="G367" s="44"/>
      <c r="H367" s="44"/>
      <c r="I367" s="49"/>
      <c r="J367" s="47"/>
      <c r="K367" s="50"/>
      <c r="L367" s="43" t="str">
        <f t="shared" si="1"/>
        <v/>
      </c>
      <c r="M367" s="44"/>
    </row>
    <row r="368" ht="15.75" customHeight="1">
      <c r="A368" s="48"/>
      <c r="B368" s="44"/>
      <c r="C368" s="31" t="str">
        <f t="array" ref="C368">IF(B368="","",IFERROR(INDEX(Listas!$Q$5:$Q$20,MATCH(B368,Listas!$P$5:$P$20,0)),""))</f>
        <v/>
      </c>
      <c r="D368" s="44"/>
      <c r="E368" s="44"/>
      <c r="F368" s="44"/>
      <c r="G368" s="44"/>
      <c r="H368" s="44"/>
      <c r="I368" s="49"/>
      <c r="J368" s="47"/>
      <c r="K368" s="50"/>
      <c r="L368" s="43" t="str">
        <f t="shared" si="1"/>
        <v/>
      </c>
      <c r="M368" s="44"/>
    </row>
    <row r="369" ht="15.75" customHeight="1">
      <c r="A369" s="48"/>
      <c r="B369" s="44"/>
      <c r="C369" s="31" t="str">
        <f t="array" ref="C369">IF(B369="","",IFERROR(INDEX(Listas!$Q$5:$Q$20,MATCH(B369,Listas!$P$5:$P$20,0)),""))</f>
        <v/>
      </c>
      <c r="D369" s="44"/>
      <c r="E369" s="44"/>
      <c r="F369" s="44"/>
      <c r="G369" s="44"/>
      <c r="H369" s="44"/>
      <c r="I369" s="49"/>
      <c r="J369" s="47"/>
      <c r="K369" s="50"/>
      <c r="L369" s="43" t="str">
        <f t="shared" si="1"/>
        <v/>
      </c>
      <c r="M369" s="44"/>
    </row>
    <row r="370" ht="15.75" customHeight="1">
      <c r="A370" s="48"/>
      <c r="B370" s="44"/>
      <c r="C370" s="31" t="str">
        <f t="array" ref="C370">IF(B370="","",IFERROR(INDEX(Listas!$Q$5:$Q$20,MATCH(B370,Listas!$P$5:$P$20,0)),""))</f>
        <v/>
      </c>
      <c r="D370" s="44"/>
      <c r="E370" s="44"/>
      <c r="F370" s="44"/>
      <c r="G370" s="44"/>
      <c r="H370" s="44"/>
      <c r="I370" s="49"/>
      <c r="J370" s="47"/>
      <c r="K370" s="50"/>
      <c r="L370" s="43" t="str">
        <f t="shared" si="1"/>
        <v/>
      </c>
      <c r="M370" s="44"/>
    </row>
    <row r="371" ht="15.75" customHeight="1">
      <c r="A371" s="48"/>
      <c r="B371" s="44"/>
      <c r="C371" s="31" t="str">
        <f t="array" ref="C371">IF(B371="","",IFERROR(INDEX(Listas!$Q$5:$Q$20,MATCH(B371,Listas!$P$5:$P$20,0)),""))</f>
        <v/>
      </c>
      <c r="D371" s="44"/>
      <c r="E371" s="44"/>
      <c r="F371" s="44"/>
      <c r="G371" s="44"/>
      <c r="H371" s="44"/>
      <c r="I371" s="49"/>
      <c r="J371" s="47"/>
      <c r="K371" s="50"/>
      <c r="L371" s="43" t="str">
        <f t="shared" si="1"/>
        <v/>
      </c>
      <c r="M371" s="44"/>
    </row>
    <row r="372" ht="15.75" customHeight="1">
      <c r="A372" s="48"/>
      <c r="B372" s="44"/>
      <c r="C372" s="31" t="str">
        <f t="array" ref="C372">IF(B372="","",IFERROR(INDEX(Listas!$Q$5:$Q$20,MATCH(B372,Listas!$P$5:$P$20,0)),""))</f>
        <v/>
      </c>
      <c r="D372" s="44"/>
      <c r="E372" s="44"/>
      <c r="F372" s="44"/>
      <c r="G372" s="44"/>
      <c r="H372" s="44"/>
      <c r="I372" s="49"/>
      <c r="J372" s="47"/>
      <c r="K372" s="50"/>
      <c r="L372" s="43" t="str">
        <f t="shared" si="1"/>
        <v/>
      </c>
      <c r="M372" s="44"/>
    </row>
    <row r="373" ht="15.75" customHeight="1">
      <c r="A373" s="48"/>
      <c r="B373" s="44"/>
      <c r="C373" s="31" t="str">
        <f t="array" ref="C373">IF(B373="","",IFERROR(INDEX(Listas!$Q$5:$Q$20,MATCH(B373,Listas!$P$5:$P$20,0)),""))</f>
        <v/>
      </c>
      <c r="D373" s="44"/>
      <c r="E373" s="44"/>
      <c r="F373" s="44"/>
      <c r="G373" s="44"/>
      <c r="H373" s="44"/>
      <c r="I373" s="49"/>
      <c r="J373" s="47"/>
      <c r="K373" s="50"/>
      <c r="L373" s="43" t="str">
        <f t="shared" si="1"/>
        <v/>
      </c>
      <c r="M373" s="44"/>
    </row>
    <row r="374" ht="15.75" customHeight="1">
      <c r="A374" s="48"/>
      <c r="B374" s="44"/>
      <c r="C374" s="31" t="str">
        <f t="array" ref="C374">IF(B374="","",IFERROR(INDEX(Listas!$Q$5:$Q$20,MATCH(B374,Listas!$P$5:$P$20,0)),""))</f>
        <v/>
      </c>
      <c r="D374" s="44"/>
      <c r="E374" s="44"/>
      <c r="F374" s="44"/>
      <c r="G374" s="44"/>
      <c r="H374" s="44"/>
      <c r="I374" s="49"/>
      <c r="J374" s="47"/>
      <c r="K374" s="50"/>
      <c r="L374" s="43" t="str">
        <f t="shared" si="1"/>
        <v/>
      </c>
      <c r="M374" s="44"/>
    </row>
    <row r="375" ht="15.75" customHeight="1">
      <c r="A375" s="48"/>
      <c r="B375" s="44"/>
      <c r="C375" s="31" t="str">
        <f t="array" ref="C375">IF(B375="","",IFERROR(INDEX(Listas!$Q$5:$Q$20,MATCH(B375,Listas!$P$5:$P$20,0)),""))</f>
        <v/>
      </c>
      <c r="D375" s="44"/>
      <c r="E375" s="44"/>
      <c r="F375" s="44"/>
      <c r="G375" s="44"/>
      <c r="H375" s="44"/>
      <c r="I375" s="49"/>
      <c r="J375" s="47"/>
      <c r="K375" s="50"/>
      <c r="L375" s="43" t="str">
        <f t="shared" si="1"/>
        <v/>
      </c>
      <c r="M375" s="44"/>
    </row>
    <row r="376" ht="15.75" customHeight="1">
      <c r="A376" s="48"/>
      <c r="B376" s="44"/>
      <c r="C376" s="31" t="str">
        <f t="array" ref="C376">IF(B376="","",IFERROR(INDEX(Listas!$Q$5:$Q$20,MATCH(B376,Listas!$P$5:$P$20,0)),""))</f>
        <v/>
      </c>
      <c r="D376" s="44"/>
      <c r="E376" s="44"/>
      <c r="F376" s="44"/>
      <c r="G376" s="44"/>
      <c r="H376" s="44"/>
      <c r="I376" s="49"/>
      <c r="J376" s="47"/>
      <c r="K376" s="50"/>
      <c r="L376" s="43" t="str">
        <f t="shared" si="1"/>
        <v/>
      </c>
      <c r="M376" s="44"/>
    </row>
    <row r="377" ht="15.75" customHeight="1">
      <c r="A377" s="48"/>
      <c r="B377" s="44"/>
      <c r="C377" s="31" t="str">
        <f t="array" ref="C377">IF(B377="","",IFERROR(INDEX(Listas!$Q$5:$Q$20,MATCH(B377,Listas!$P$5:$P$20,0)),""))</f>
        <v/>
      </c>
      <c r="D377" s="44"/>
      <c r="E377" s="44"/>
      <c r="F377" s="44"/>
      <c r="G377" s="44"/>
      <c r="H377" s="44"/>
      <c r="I377" s="49"/>
      <c r="J377" s="47"/>
      <c r="K377" s="50"/>
      <c r="L377" s="43" t="str">
        <f t="shared" si="1"/>
        <v/>
      </c>
      <c r="M377" s="44"/>
    </row>
    <row r="378" ht="15.75" customHeight="1">
      <c r="A378" s="48"/>
      <c r="B378" s="44"/>
      <c r="C378" s="31" t="str">
        <f t="array" ref="C378">IF(B378="","",IFERROR(INDEX(Listas!$Q$5:$Q$20,MATCH(B378,Listas!$P$5:$P$20,0)),""))</f>
        <v/>
      </c>
      <c r="D378" s="44"/>
      <c r="E378" s="44"/>
      <c r="F378" s="44"/>
      <c r="G378" s="44"/>
      <c r="H378" s="44"/>
      <c r="I378" s="49"/>
      <c r="J378" s="47"/>
      <c r="K378" s="50"/>
      <c r="L378" s="43" t="str">
        <f t="shared" si="1"/>
        <v/>
      </c>
      <c r="M378" s="44"/>
    </row>
    <row r="379" ht="15.75" customHeight="1">
      <c r="A379" s="48"/>
      <c r="B379" s="44"/>
      <c r="C379" s="31" t="str">
        <f t="array" ref="C379">IF(B379="","",IFERROR(INDEX(Listas!$Q$5:$Q$20,MATCH(B379,Listas!$P$5:$P$20,0)),""))</f>
        <v/>
      </c>
      <c r="D379" s="44"/>
      <c r="E379" s="44"/>
      <c r="F379" s="44"/>
      <c r="G379" s="44"/>
      <c r="H379" s="44"/>
      <c r="I379" s="49"/>
      <c r="J379" s="47"/>
      <c r="K379" s="50"/>
      <c r="L379" s="43" t="str">
        <f t="shared" si="1"/>
        <v/>
      </c>
      <c r="M379" s="44"/>
    </row>
    <row r="380" ht="15.75" customHeight="1">
      <c r="A380" s="48"/>
      <c r="B380" s="44"/>
      <c r="C380" s="31" t="str">
        <f t="array" ref="C380">IF(B380="","",IFERROR(INDEX(Listas!$Q$5:$Q$20,MATCH(B380,Listas!$P$5:$P$20,0)),""))</f>
        <v/>
      </c>
      <c r="D380" s="44"/>
      <c r="E380" s="44"/>
      <c r="F380" s="44"/>
      <c r="G380" s="44"/>
      <c r="H380" s="44"/>
      <c r="I380" s="49"/>
      <c r="J380" s="47"/>
      <c r="K380" s="50"/>
      <c r="L380" s="43" t="str">
        <f t="shared" si="1"/>
        <v/>
      </c>
      <c r="M380" s="44"/>
    </row>
    <row r="381" ht="15.75" customHeight="1">
      <c r="A381" s="48"/>
      <c r="B381" s="44"/>
      <c r="C381" s="31" t="str">
        <f t="array" ref="C381">IF(B381="","",IFERROR(INDEX(Listas!$Q$5:$Q$20,MATCH(B381,Listas!$P$5:$P$20,0)),""))</f>
        <v/>
      </c>
      <c r="D381" s="44"/>
      <c r="E381" s="44"/>
      <c r="F381" s="44"/>
      <c r="G381" s="44"/>
      <c r="H381" s="44"/>
      <c r="I381" s="49"/>
      <c r="J381" s="47"/>
      <c r="K381" s="50"/>
      <c r="L381" s="43" t="str">
        <f t="shared" si="1"/>
        <v/>
      </c>
      <c r="M381" s="44"/>
    </row>
    <row r="382" ht="15.75" customHeight="1">
      <c r="A382" s="48"/>
      <c r="B382" s="44"/>
      <c r="C382" s="31" t="str">
        <f t="array" ref="C382">IF(B382="","",IFERROR(INDEX(Listas!$Q$5:$Q$20,MATCH(B382,Listas!$P$5:$P$20,0)),""))</f>
        <v/>
      </c>
      <c r="D382" s="44"/>
      <c r="E382" s="44"/>
      <c r="F382" s="44"/>
      <c r="G382" s="44"/>
      <c r="H382" s="44"/>
      <c r="I382" s="49"/>
      <c r="J382" s="47"/>
      <c r="K382" s="50"/>
      <c r="L382" s="43" t="str">
        <f t="shared" si="1"/>
        <v/>
      </c>
      <c r="M382" s="44"/>
    </row>
    <row r="383" ht="15.75" customHeight="1">
      <c r="A383" s="48"/>
      <c r="B383" s="44"/>
      <c r="C383" s="31" t="str">
        <f t="array" ref="C383">IF(B383="","",IFERROR(INDEX(Listas!$Q$5:$Q$20,MATCH(B383,Listas!$P$5:$P$20,0)),""))</f>
        <v/>
      </c>
      <c r="D383" s="44"/>
      <c r="E383" s="44"/>
      <c r="F383" s="44"/>
      <c r="G383" s="44"/>
      <c r="H383" s="44"/>
      <c r="I383" s="49"/>
      <c r="J383" s="47"/>
      <c r="K383" s="50"/>
      <c r="L383" s="43" t="str">
        <f t="shared" si="1"/>
        <v/>
      </c>
      <c r="M383" s="44"/>
    </row>
    <row r="384" ht="15.75" customHeight="1">
      <c r="A384" s="48"/>
      <c r="B384" s="44"/>
      <c r="C384" s="31" t="str">
        <f t="array" ref="C384">IF(B384="","",IFERROR(INDEX(Listas!$Q$5:$Q$20,MATCH(B384,Listas!$P$5:$P$20,0)),""))</f>
        <v/>
      </c>
      <c r="D384" s="44"/>
      <c r="E384" s="44"/>
      <c r="F384" s="44"/>
      <c r="G384" s="44"/>
      <c r="H384" s="44"/>
      <c r="I384" s="49"/>
      <c r="J384" s="47"/>
      <c r="K384" s="50"/>
      <c r="L384" s="43" t="str">
        <f t="shared" si="1"/>
        <v/>
      </c>
      <c r="M384" s="44"/>
    </row>
    <row r="385" ht="15.75" customHeight="1">
      <c r="A385" s="48"/>
      <c r="B385" s="44"/>
      <c r="C385" s="31" t="str">
        <f t="array" ref="C385">IF(B385="","",IFERROR(INDEX(Listas!$Q$5:$Q$20,MATCH(B385,Listas!$P$5:$P$20,0)),""))</f>
        <v/>
      </c>
      <c r="D385" s="44"/>
      <c r="E385" s="44"/>
      <c r="F385" s="44"/>
      <c r="G385" s="44"/>
      <c r="H385" s="44"/>
      <c r="I385" s="49"/>
      <c r="J385" s="47"/>
      <c r="K385" s="50"/>
      <c r="L385" s="43" t="str">
        <f t="shared" si="1"/>
        <v/>
      </c>
      <c r="M385" s="44"/>
    </row>
    <row r="386" ht="15.75" customHeight="1">
      <c r="A386" s="48"/>
      <c r="B386" s="44"/>
      <c r="C386" s="31" t="str">
        <f t="array" ref="C386">IF(B386="","",IFERROR(INDEX(Listas!$Q$5:$Q$20,MATCH(B386,Listas!$P$5:$P$20,0)),""))</f>
        <v/>
      </c>
      <c r="D386" s="44"/>
      <c r="E386" s="44"/>
      <c r="F386" s="44"/>
      <c r="G386" s="44"/>
      <c r="H386" s="44"/>
      <c r="I386" s="49"/>
      <c r="J386" s="47"/>
      <c r="K386" s="50"/>
      <c r="L386" s="43" t="str">
        <f t="shared" si="1"/>
        <v/>
      </c>
      <c r="M386" s="44"/>
    </row>
    <row r="387" ht="15.75" customHeight="1">
      <c r="A387" s="48"/>
      <c r="B387" s="44"/>
      <c r="C387" s="31" t="str">
        <f t="array" ref="C387">IF(B387="","",IFERROR(INDEX(Listas!$Q$5:$Q$20,MATCH(B387,Listas!$P$5:$P$20,0)),""))</f>
        <v/>
      </c>
      <c r="D387" s="44"/>
      <c r="E387" s="44"/>
      <c r="F387" s="44"/>
      <c r="G387" s="44"/>
      <c r="H387" s="44"/>
      <c r="I387" s="49"/>
      <c r="J387" s="47"/>
      <c r="K387" s="50"/>
      <c r="L387" s="43" t="str">
        <f t="shared" si="1"/>
        <v/>
      </c>
      <c r="M387" s="44"/>
    </row>
    <row r="388" ht="15.75" customHeight="1">
      <c r="A388" s="48"/>
      <c r="B388" s="44"/>
      <c r="C388" s="31" t="str">
        <f t="array" ref="C388">IF(B388="","",IFERROR(INDEX(Listas!$Q$5:$Q$20,MATCH(B388,Listas!$P$5:$P$20,0)),""))</f>
        <v/>
      </c>
      <c r="D388" s="44"/>
      <c r="E388" s="44"/>
      <c r="F388" s="44"/>
      <c r="G388" s="44"/>
      <c r="H388" s="44"/>
      <c r="I388" s="49"/>
      <c r="J388" s="47"/>
      <c r="K388" s="50"/>
      <c r="L388" s="43" t="str">
        <f t="shared" si="1"/>
        <v/>
      </c>
      <c r="M388" s="44"/>
    </row>
    <row r="389" ht="15.75" customHeight="1">
      <c r="A389" s="48"/>
      <c r="B389" s="44"/>
      <c r="C389" s="31" t="str">
        <f t="array" ref="C389">IF(B389="","",IFERROR(INDEX(Listas!$Q$5:$Q$20,MATCH(B389,Listas!$P$5:$P$20,0)),""))</f>
        <v/>
      </c>
      <c r="D389" s="44"/>
      <c r="E389" s="44"/>
      <c r="F389" s="44"/>
      <c r="G389" s="44"/>
      <c r="H389" s="44"/>
      <c r="I389" s="49"/>
      <c r="J389" s="47"/>
      <c r="K389" s="50"/>
      <c r="L389" s="43" t="str">
        <f t="shared" si="1"/>
        <v/>
      </c>
      <c r="M389" s="44"/>
    </row>
    <row r="390" ht="15.75" customHeight="1">
      <c r="A390" s="48"/>
      <c r="B390" s="44"/>
      <c r="C390" s="31" t="str">
        <f t="array" ref="C390">IF(B390="","",IFERROR(INDEX(Listas!$Q$5:$Q$20,MATCH(B390,Listas!$P$5:$P$20,0)),""))</f>
        <v/>
      </c>
      <c r="D390" s="44"/>
      <c r="E390" s="44"/>
      <c r="F390" s="44"/>
      <c r="G390" s="44"/>
      <c r="H390" s="44"/>
      <c r="I390" s="49"/>
      <c r="J390" s="47"/>
      <c r="K390" s="50"/>
      <c r="L390" s="43" t="str">
        <f t="shared" si="1"/>
        <v/>
      </c>
      <c r="M390" s="44"/>
    </row>
    <row r="391" ht="15.75" customHeight="1">
      <c r="A391" s="48"/>
      <c r="B391" s="44"/>
      <c r="C391" s="31" t="str">
        <f t="array" ref="C391">IF(B391="","",IFERROR(INDEX(Listas!$Q$5:$Q$20,MATCH(B391,Listas!$P$5:$P$20,0)),""))</f>
        <v/>
      </c>
      <c r="D391" s="44"/>
      <c r="E391" s="44"/>
      <c r="F391" s="44"/>
      <c r="G391" s="44"/>
      <c r="H391" s="44"/>
      <c r="I391" s="49"/>
      <c r="J391" s="47"/>
      <c r="K391" s="50"/>
      <c r="L391" s="43" t="str">
        <f t="shared" si="1"/>
        <v/>
      </c>
      <c r="M391" s="44"/>
    </row>
    <row r="392" ht="15.75" customHeight="1">
      <c r="A392" s="48"/>
      <c r="B392" s="44"/>
      <c r="C392" s="31" t="str">
        <f t="array" ref="C392">IF(B392="","",IFERROR(INDEX(Listas!$Q$5:$Q$20,MATCH(B392,Listas!$P$5:$P$20,0)),""))</f>
        <v/>
      </c>
      <c r="D392" s="44"/>
      <c r="E392" s="44"/>
      <c r="F392" s="44"/>
      <c r="G392" s="44"/>
      <c r="H392" s="44"/>
      <c r="I392" s="49"/>
      <c r="J392" s="47"/>
      <c r="K392" s="50"/>
      <c r="L392" s="43" t="str">
        <f t="shared" si="1"/>
        <v/>
      </c>
      <c r="M392" s="44"/>
    </row>
    <row r="393" ht="15.75" customHeight="1">
      <c r="A393" s="48"/>
      <c r="B393" s="44"/>
      <c r="C393" s="31" t="str">
        <f t="array" ref="C393">IF(B393="","",IFERROR(INDEX(Listas!$Q$5:$Q$20,MATCH(B393,Listas!$P$5:$P$20,0)),""))</f>
        <v/>
      </c>
      <c r="D393" s="44"/>
      <c r="E393" s="44"/>
      <c r="F393" s="44"/>
      <c r="G393" s="44"/>
      <c r="H393" s="44"/>
      <c r="I393" s="49"/>
      <c r="J393" s="47"/>
      <c r="K393" s="50"/>
      <c r="L393" s="43" t="str">
        <f t="shared" si="1"/>
        <v/>
      </c>
      <c r="M393" s="44"/>
    </row>
    <row r="394" ht="15.75" customHeight="1">
      <c r="A394" s="48"/>
      <c r="B394" s="44"/>
      <c r="C394" s="31" t="str">
        <f t="array" ref="C394">IF(B394="","",IFERROR(INDEX(Listas!$Q$5:$Q$20,MATCH(B394,Listas!$P$5:$P$20,0)),""))</f>
        <v/>
      </c>
      <c r="D394" s="44"/>
      <c r="E394" s="44"/>
      <c r="F394" s="44"/>
      <c r="G394" s="44"/>
      <c r="H394" s="44"/>
      <c r="I394" s="49"/>
      <c r="J394" s="47"/>
      <c r="K394" s="50"/>
      <c r="L394" s="43" t="str">
        <f t="shared" si="1"/>
        <v/>
      </c>
      <c r="M394" s="44"/>
    </row>
    <row r="395" ht="15.75" customHeight="1">
      <c r="A395" s="48"/>
      <c r="B395" s="44"/>
      <c r="C395" s="31" t="str">
        <f t="array" ref="C395">IF(B395="","",IFERROR(INDEX(Listas!$Q$5:$Q$20,MATCH(B395,Listas!$P$5:$P$20,0)),""))</f>
        <v/>
      </c>
      <c r="D395" s="44"/>
      <c r="E395" s="44"/>
      <c r="F395" s="44"/>
      <c r="G395" s="44"/>
      <c r="H395" s="44"/>
      <c r="I395" s="49"/>
      <c r="J395" s="47"/>
      <c r="K395" s="50"/>
      <c r="L395" s="43" t="str">
        <f t="shared" si="1"/>
        <v/>
      </c>
      <c r="M395" s="44"/>
    </row>
    <row r="396" ht="15.75" customHeight="1">
      <c r="A396" s="48"/>
      <c r="B396" s="44"/>
      <c r="C396" s="31" t="str">
        <f t="array" ref="C396">IF(B396="","",IFERROR(INDEX(Listas!$Q$5:$Q$20,MATCH(B396,Listas!$P$5:$P$20,0)),""))</f>
        <v/>
      </c>
      <c r="D396" s="44"/>
      <c r="E396" s="44"/>
      <c r="F396" s="44"/>
      <c r="G396" s="44"/>
      <c r="H396" s="44"/>
      <c r="I396" s="49"/>
      <c r="J396" s="47"/>
      <c r="K396" s="50"/>
      <c r="L396" s="43" t="str">
        <f t="shared" si="1"/>
        <v/>
      </c>
      <c r="M396" s="44"/>
    </row>
    <row r="397" ht="15.75" customHeight="1">
      <c r="A397" s="48"/>
      <c r="B397" s="44"/>
      <c r="C397" s="31" t="str">
        <f t="array" ref="C397">IF(B397="","",IFERROR(INDEX(Listas!$Q$5:$Q$20,MATCH(B397,Listas!$P$5:$P$20,0)),""))</f>
        <v/>
      </c>
      <c r="D397" s="44"/>
      <c r="E397" s="44"/>
      <c r="F397" s="44"/>
      <c r="G397" s="44"/>
      <c r="H397" s="44"/>
      <c r="I397" s="49"/>
      <c r="J397" s="47"/>
      <c r="K397" s="50"/>
      <c r="L397" s="43" t="str">
        <f t="shared" si="1"/>
        <v/>
      </c>
      <c r="M397" s="44"/>
    </row>
    <row r="398" ht="15.75" customHeight="1">
      <c r="A398" s="48"/>
      <c r="B398" s="44"/>
      <c r="C398" s="31" t="str">
        <f t="array" ref="C398">IF(B398="","",IFERROR(INDEX(Listas!$Q$5:$Q$20,MATCH(B398,Listas!$P$5:$P$20,0)),""))</f>
        <v/>
      </c>
      <c r="D398" s="44"/>
      <c r="E398" s="44"/>
      <c r="F398" s="44"/>
      <c r="G398" s="44"/>
      <c r="H398" s="44"/>
      <c r="I398" s="49"/>
      <c r="J398" s="47"/>
      <c r="K398" s="50"/>
      <c r="L398" s="43" t="str">
        <f t="shared" si="1"/>
        <v/>
      </c>
      <c r="M398" s="44"/>
    </row>
    <row r="399" ht="15.75" customHeight="1">
      <c r="A399" s="48"/>
      <c r="B399" s="44"/>
      <c r="C399" s="31" t="str">
        <f t="array" ref="C399">IF(B399="","",IFERROR(INDEX(Listas!$Q$5:$Q$20,MATCH(B399,Listas!$P$5:$P$20,0)),""))</f>
        <v/>
      </c>
      <c r="D399" s="44"/>
      <c r="E399" s="44"/>
      <c r="F399" s="44"/>
      <c r="G399" s="44"/>
      <c r="H399" s="44"/>
      <c r="I399" s="49"/>
      <c r="J399" s="47"/>
      <c r="K399" s="50"/>
      <c r="L399" s="43" t="str">
        <f t="shared" si="1"/>
        <v/>
      </c>
      <c r="M399" s="44"/>
    </row>
    <row r="400" ht="15.75" customHeight="1">
      <c r="A400" s="48"/>
      <c r="B400" s="44"/>
      <c r="C400" s="31" t="str">
        <f t="array" ref="C400">IF(B400="","",IFERROR(INDEX(Listas!$Q$5:$Q$20,MATCH(B400,Listas!$P$5:$P$20,0)),""))</f>
        <v/>
      </c>
      <c r="D400" s="44"/>
      <c r="E400" s="44"/>
      <c r="F400" s="44"/>
      <c r="G400" s="44"/>
      <c r="H400" s="44"/>
      <c r="I400" s="49"/>
      <c r="J400" s="47"/>
      <c r="K400" s="50"/>
      <c r="L400" s="43" t="str">
        <f t="shared" si="1"/>
        <v/>
      </c>
      <c r="M400" s="44"/>
    </row>
    <row r="401" ht="15.75" customHeight="1">
      <c r="A401" s="48"/>
      <c r="B401" s="44"/>
      <c r="C401" s="31" t="str">
        <f t="array" ref="C401">IF(B401="","",IFERROR(INDEX(Listas!$Q$5:$Q$20,MATCH(B401,Listas!$P$5:$P$20,0)),""))</f>
        <v/>
      </c>
      <c r="D401" s="44"/>
      <c r="E401" s="44"/>
      <c r="F401" s="44"/>
      <c r="G401" s="44"/>
      <c r="H401" s="44"/>
      <c r="I401" s="49"/>
      <c r="J401" s="47"/>
      <c r="K401" s="50"/>
      <c r="L401" s="43" t="str">
        <f t="shared" si="1"/>
        <v/>
      </c>
      <c r="M401" s="44"/>
    </row>
    <row r="402" ht="15.75" customHeight="1">
      <c r="A402" s="48"/>
      <c r="B402" s="44"/>
      <c r="C402" s="31" t="str">
        <f t="array" ref="C402">IF(B402="","",IFERROR(INDEX(Listas!$Q$5:$Q$20,MATCH(B402,Listas!$P$5:$P$20,0)),""))</f>
        <v/>
      </c>
      <c r="D402" s="44"/>
      <c r="E402" s="44"/>
      <c r="F402" s="44"/>
      <c r="G402" s="44"/>
      <c r="H402" s="44"/>
      <c r="I402" s="49"/>
      <c r="J402" s="47"/>
      <c r="K402" s="50"/>
      <c r="L402" s="43" t="str">
        <f t="shared" si="1"/>
        <v/>
      </c>
      <c r="M402" s="44"/>
    </row>
    <row r="403" ht="15.75" customHeight="1">
      <c r="A403" s="48"/>
      <c r="B403" s="44"/>
      <c r="C403" s="31" t="str">
        <f t="array" ref="C403">IF(B403="","",IFERROR(INDEX(Listas!$Q$5:$Q$20,MATCH(B403,Listas!$P$5:$P$20,0)),""))</f>
        <v/>
      </c>
      <c r="D403" s="44"/>
      <c r="E403" s="44"/>
      <c r="F403" s="44"/>
      <c r="G403" s="44"/>
      <c r="H403" s="44"/>
      <c r="I403" s="49"/>
      <c r="J403" s="47"/>
      <c r="K403" s="50"/>
      <c r="L403" s="43" t="str">
        <f t="shared" si="1"/>
        <v/>
      </c>
      <c r="M403" s="44"/>
    </row>
    <row r="404" ht="15.75" customHeight="1">
      <c r="A404" s="48"/>
      <c r="B404" s="44"/>
      <c r="C404" s="31" t="str">
        <f t="array" ref="C404">IF(B404="","",IFERROR(INDEX(Listas!$Q$5:$Q$20,MATCH(B404,Listas!$P$5:$P$20,0)),""))</f>
        <v/>
      </c>
      <c r="D404" s="44"/>
      <c r="E404" s="44"/>
      <c r="F404" s="44"/>
      <c r="G404" s="44"/>
      <c r="H404" s="44"/>
      <c r="I404" s="49"/>
      <c r="J404" s="47"/>
      <c r="K404" s="50"/>
      <c r="L404" s="43" t="str">
        <f t="shared" si="1"/>
        <v/>
      </c>
      <c r="M404" s="44"/>
    </row>
    <row r="405" ht="15.75" customHeight="1">
      <c r="A405" s="48"/>
      <c r="B405" s="44"/>
      <c r="C405" s="31" t="str">
        <f t="array" ref="C405">IF(B405="","",IFERROR(INDEX(Listas!$Q$5:$Q$20,MATCH(B405,Listas!$P$5:$P$20,0)),""))</f>
        <v/>
      </c>
      <c r="D405" s="44"/>
      <c r="E405" s="44"/>
      <c r="F405" s="44"/>
      <c r="G405" s="44"/>
      <c r="H405" s="44"/>
      <c r="I405" s="49"/>
      <c r="J405" s="47"/>
      <c r="K405" s="50"/>
      <c r="L405" s="43" t="str">
        <f t="shared" si="1"/>
        <v/>
      </c>
      <c r="M405" s="44"/>
    </row>
    <row r="406" ht="15.75" customHeight="1">
      <c r="A406" s="48"/>
      <c r="B406" s="44"/>
      <c r="C406" s="31" t="str">
        <f t="array" ref="C406">IF(B406="","",IFERROR(INDEX(Listas!$Q$5:$Q$20,MATCH(B406,Listas!$P$5:$P$20,0)),""))</f>
        <v/>
      </c>
      <c r="D406" s="44"/>
      <c r="E406" s="44"/>
      <c r="F406" s="44"/>
      <c r="G406" s="44"/>
      <c r="H406" s="44"/>
      <c r="I406" s="49"/>
      <c r="J406" s="47"/>
      <c r="K406" s="50"/>
      <c r="L406" s="43" t="str">
        <f t="shared" si="1"/>
        <v/>
      </c>
      <c r="M406" s="44"/>
    </row>
    <row r="407" ht="15.75" customHeight="1">
      <c r="A407" s="48"/>
      <c r="B407" s="44"/>
      <c r="C407" s="31" t="str">
        <f t="array" ref="C407">IF(B407="","",IFERROR(INDEX(Listas!$Q$5:$Q$20,MATCH(B407,Listas!$P$5:$P$20,0)),""))</f>
        <v/>
      </c>
      <c r="D407" s="44"/>
      <c r="E407" s="44"/>
      <c r="F407" s="44"/>
      <c r="G407" s="44"/>
      <c r="H407" s="44"/>
      <c r="I407" s="49"/>
      <c r="J407" s="47"/>
      <c r="K407" s="50"/>
      <c r="L407" s="43" t="str">
        <f t="shared" si="1"/>
        <v/>
      </c>
      <c r="M407" s="44"/>
    </row>
    <row r="408" ht="15.75" customHeight="1">
      <c r="A408" s="48"/>
      <c r="B408" s="44"/>
      <c r="C408" s="31" t="str">
        <f t="array" ref="C408">IF(B408="","",IFERROR(INDEX(Listas!$Q$5:$Q$20,MATCH(B408,Listas!$P$5:$P$20,0)),""))</f>
        <v/>
      </c>
      <c r="D408" s="44"/>
      <c r="E408" s="44"/>
      <c r="F408" s="44"/>
      <c r="G408" s="44"/>
      <c r="H408" s="44"/>
      <c r="I408" s="49"/>
      <c r="J408" s="47"/>
      <c r="K408" s="50"/>
      <c r="L408" s="43" t="str">
        <f t="shared" si="1"/>
        <v/>
      </c>
      <c r="M408" s="44"/>
    </row>
    <row r="409" ht="15.75" customHeight="1">
      <c r="A409" s="48"/>
      <c r="B409" s="44"/>
      <c r="C409" s="31" t="str">
        <f t="array" ref="C409">IF(B409="","",IFERROR(INDEX(Listas!$Q$5:$Q$20,MATCH(B409,Listas!$P$5:$P$20,0)),""))</f>
        <v/>
      </c>
      <c r="D409" s="44"/>
      <c r="E409" s="44"/>
      <c r="F409" s="44"/>
      <c r="G409" s="44"/>
      <c r="H409" s="44"/>
      <c r="I409" s="49"/>
      <c r="J409" s="47"/>
      <c r="K409" s="50"/>
      <c r="L409" s="43" t="str">
        <f t="shared" si="1"/>
        <v/>
      </c>
      <c r="M409" s="44"/>
    </row>
    <row r="410" ht="15.75" customHeight="1">
      <c r="A410" s="48"/>
      <c r="B410" s="44"/>
      <c r="C410" s="31" t="str">
        <f t="array" ref="C410">IF(B410="","",IFERROR(INDEX(Listas!$Q$5:$Q$20,MATCH(B410,Listas!$P$5:$P$20,0)),""))</f>
        <v/>
      </c>
      <c r="D410" s="44"/>
      <c r="E410" s="44"/>
      <c r="F410" s="44"/>
      <c r="G410" s="44"/>
      <c r="H410" s="44"/>
      <c r="I410" s="49"/>
      <c r="J410" s="47"/>
      <c r="K410" s="50"/>
      <c r="L410" s="43" t="str">
        <f t="shared" si="1"/>
        <v/>
      </c>
      <c r="M410" s="44"/>
    </row>
    <row r="411" ht="15.75" customHeight="1">
      <c r="A411" s="48"/>
      <c r="B411" s="44"/>
      <c r="C411" s="31" t="str">
        <f t="array" ref="C411">IF(B411="","",IFERROR(INDEX(Listas!$Q$5:$Q$20,MATCH(B411,Listas!$P$5:$P$20,0)),""))</f>
        <v/>
      </c>
      <c r="D411" s="44"/>
      <c r="E411" s="44"/>
      <c r="F411" s="44"/>
      <c r="G411" s="44"/>
      <c r="H411" s="44"/>
      <c r="I411" s="49"/>
      <c r="J411" s="47"/>
      <c r="K411" s="50"/>
      <c r="L411" s="43" t="str">
        <f t="shared" si="1"/>
        <v/>
      </c>
      <c r="M411" s="44"/>
    </row>
    <row r="412" ht="15.75" customHeight="1">
      <c r="A412" s="48"/>
      <c r="B412" s="44"/>
      <c r="C412" s="31" t="str">
        <f t="array" ref="C412">IF(B412="","",IFERROR(INDEX(Listas!$Q$5:$Q$20,MATCH(B412,Listas!$P$5:$P$20,0)),""))</f>
        <v/>
      </c>
      <c r="D412" s="44"/>
      <c r="E412" s="44"/>
      <c r="F412" s="44"/>
      <c r="G412" s="44"/>
      <c r="H412" s="44"/>
      <c r="I412" s="49"/>
      <c r="J412" s="47"/>
      <c r="K412" s="50"/>
      <c r="L412" s="43" t="str">
        <f t="shared" si="1"/>
        <v/>
      </c>
      <c r="M412" s="44"/>
    </row>
    <row r="413" ht="15.75" customHeight="1">
      <c r="A413" s="48"/>
      <c r="B413" s="44"/>
      <c r="C413" s="31" t="str">
        <f t="array" ref="C413">IF(B413="","",IFERROR(INDEX(Listas!$Q$5:$Q$20,MATCH(B413,Listas!$P$5:$P$20,0)),""))</f>
        <v/>
      </c>
      <c r="D413" s="44"/>
      <c r="E413" s="44"/>
      <c r="F413" s="44"/>
      <c r="G413" s="44"/>
      <c r="H413" s="44"/>
      <c r="I413" s="49"/>
      <c r="J413" s="47"/>
      <c r="K413" s="50"/>
      <c r="L413" s="43" t="str">
        <f t="shared" si="1"/>
        <v/>
      </c>
      <c r="M413" s="44"/>
    </row>
    <row r="414" ht="15.75" customHeight="1">
      <c r="A414" s="48"/>
      <c r="B414" s="44"/>
      <c r="C414" s="31" t="str">
        <f t="array" ref="C414">IF(B414="","",IFERROR(INDEX(Listas!$Q$5:$Q$20,MATCH(B414,Listas!$P$5:$P$20,0)),""))</f>
        <v/>
      </c>
      <c r="D414" s="44"/>
      <c r="E414" s="44"/>
      <c r="F414" s="44"/>
      <c r="G414" s="44"/>
      <c r="H414" s="44"/>
      <c r="I414" s="49"/>
      <c r="J414" s="47"/>
      <c r="K414" s="50"/>
      <c r="L414" s="43" t="str">
        <f t="shared" si="1"/>
        <v/>
      </c>
      <c r="M414" s="44"/>
    </row>
    <row r="415" ht="15.75" customHeight="1">
      <c r="A415" s="48"/>
      <c r="B415" s="44"/>
      <c r="C415" s="31" t="str">
        <f t="array" ref="C415">IF(B415="","",IFERROR(INDEX(Listas!$Q$5:$Q$20,MATCH(B415,Listas!$P$5:$P$20,0)),""))</f>
        <v/>
      </c>
      <c r="D415" s="44"/>
      <c r="E415" s="44"/>
      <c r="F415" s="44"/>
      <c r="G415" s="44"/>
      <c r="H415" s="44"/>
      <c r="I415" s="49"/>
      <c r="J415" s="47"/>
      <c r="K415" s="50"/>
      <c r="L415" s="43" t="str">
        <f t="shared" si="1"/>
        <v/>
      </c>
      <c r="M415" s="44"/>
    </row>
    <row r="416" ht="15.75" customHeight="1">
      <c r="A416" s="48"/>
      <c r="B416" s="44"/>
      <c r="C416" s="31" t="str">
        <f t="array" ref="C416">IF(B416="","",IFERROR(INDEX(Listas!$Q$5:$Q$20,MATCH(B416,Listas!$P$5:$P$20,0)),""))</f>
        <v/>
      </c>
      <c r="D416" s="44"/>
      <c r="E416" s="44"/>
      <c r="F416" s="44"/>
      <c r="G416" s="44"/>
      <c r="H416" s="44"/>
      <c r="I416" s="49"/>
      <c r="J416" s="47"/>
      <c r="K416" s="50"/>
      <c r="L416" s="43" t="str">
        <f t="shared" si="1"/>
        <v/>
      </c>
      <c r="M416" s="44"/>
    </row>
    <row r="417" ht="15.75" customHeight="1">
      <c r="A417" s="48"/>
      <c r="B417" s="44"/>
      <c r="C417" s="31" t="str">
        <f t="array" ref="C417">IF(B417="","",IFERROR(INDEX(Listas!$Q$5:$Q$20,MATCH(B417,Listas!$P$5:$P$20,0)),""))</f>
        <v/>
      </c>
      <c r="D417" s="44"/>
      <c r="E417" s="44"/>
      <c r="F417" s="44"/>
      <c r="G417" s="44"/>
      <c r="H417" s="44"/>
      <c r="I417" s="49"/>
      <c r="J417" s="47"/>
      <c r="K417" s="50"/>
      <c r="L417" s="43" t="str">
        <f t="shared" si="1"/>
        <v/>
      </c>
      <c r="M417" s="44"/>
    </row>
    <row r="418" ht="15.75" customHeight="1">
      <c r="A418" s="48"/>
      <c r="B418" s="44"/>
      <c r="C418" s="31" t="str">
        <f t="array" ref="C418">IF(B418="","",IFERROR(INDEX(Listas!$Q$5:$Q$20,MATCH(B418,Listas!$P$5:$P$20,0)),""))</f>
        <v/>
      </c>
      <c r="D418" s="44"/>
      <c r="E418" s="44"/>
      <c r="F418" s="44"/>
      <c r="G418" s="44"/>
      <c r="H418" s="44"/>
      <c r="I418" s="49"/>
      <c r="J418" s="47"/>
      <c r="K418" s="50"/>
      <c r="L418" s="43" t="str">
        <f t="shared" si="1"/>
        <v/>
      </c>
      <c r="M418" s="44"/>
    </row>
    <row r="419" ht="15.75" customHeight="1">
      <c r="A419" s="48"/>
      <c r="B419" s="44"/>
      <c r="C419" s="31" t="str">
        <f t="array" ref="C419">IF(B419="","",IFERROR(INDEX(Listas!$Q$5:$Q$20,MATCH(B419,Listas!$P$5:$P$20,0)),""))</f>
        <v/>
      </c>
      <c r="D419" s="44"/>
      <c r="E419" s="44"/>
      <c r="F419" s="44"/>
      <c r="G419" s="44"/>
      <c r="H419" s="44"/>
      <c r="I419" s="49"/>
      <c r="J419" s="47"/>
      <c r="K419" s="50"/>
      <c r="L419" s="43" t="str">
        <f t="shared" si="1"/>
        <v/>
      </c>
      <c r="M419" s="44"/>
    </row>
    <row r="420" ht="15.75" customHeight="1">
      <c r="A420" s="48"/>
      <c r="B420" s="44"/>
      <c r="C420" s="31" t="str">
        <f t="array" ref="C420">IF(B420="","",IFERROR(INDEX(Listas!$Q$5:$Q$20,MATCH(B420,Listas!$P$5:$P$20,0)),""))</f>
        <v/>
      </c>
      <c r="D420" s="44"/>
      <c r="E420" s="44"/>
      <c r="F420" s="44"/>
      <c r="G420" s="44"/>
      <c r="H420" s="44"/>
      <c r="I420" s="49"/>
      <c r="J420" s="47"/>
      <c r="K420" s="50"/>
      <c r="L420" s="43" t="str">
        <f t="shared" si="1"/>
        <v/>
      </c>
      <c r="M420" s="44"/>
    </row>
    <row r="421" ht="15.75" customHeight="1">
      <c r="A421" s="48"/>
      <c r="B421" s="44"/>
      <c r="C421" s="31" t="str">
        <f t="array" ref="C421">IF(B421="","",IFERROR(INDEX(Listas!$Q$5:$Q$20,MATCH(B421,Listas!$P$5:$P$20,0)),""))</f>
        <v/>
      </c>
      <c r="D421" s="44"/>
      <c r="E421" s="44"/>
      <c r="F421" s="44"/>
      <c r="G421" s="44"/>
      <c r="H421" s="44"/>
      <c r="I421" s="49"/>
      <c r="J421" s="47"/>
      <c r="K421" s="50"/>
      <c r="L421" s="43" t="str">
        <f t="shared" si="1"/>
        <v/>
      </c>
      <c r="M421" s="44"/>
    </row>
    <row r="422" ht="15.75" customHeight="1">
      <c r="A422" s="48"/>
      <c r="B422" s="44"/>
      <c r="C422" s="31" t="str">
        <f t="array" ref="C422">IF(B422="","",IFERROR(INDEX(Listas!$Q$5:$Q$20,MATCH(B422,Listas!$P$5:$P$20,0)),""))</f>
        <v/>
      </c>
      <c r="D422" s="44"/>
      <c r="E422" s="44"/>
      <c r="F422" s="44"/>
      <c r="G422" s="44"/>
      <c r="H422" s="44"/>
      <c r="I422" s="49"/>
      <c r="J422" s="47"/>
      <c r="K422" s="50"/>
      <c r="L422" s="43" t="str">
        <f t="shared" si="1"/>
        <v/>
      </c>
      <c r="M422" s="44"/>
    </row>
    <row r="423" ht="15.75" customHeight="1">
      <c r="A423" s="48"/>
      <c r="B423" s="44"/>
      <c r="C423" s="31" t="str">
        <f t="array" ref="C423">IF(B423="","",IFERROR(INDEX(Listas!$Q$5:$Q$20,MATCH(B423,Listas!$P$5:$P$20,0)),""))</f>
        <v/>
      </c>
      <c r="D423" s="44"/>
      <c r="E423" s="44"/>
      <c r="F423" s="44"/>
      <c r="G423" s="44"/>
      <c r="H423" s="44"/>
      <c r="I423" s="49"/>
      <c r="J423" s="47"/>
      <c r="K423" s="50"/>
      <c r="L423" s="43" t="str">
        <f t="shared" si="1"/>
        <v/>
      </c>
      <c r="M423" s="44"/>
    </row>
    <row r="424" ht="15.75" customHeight="1">
      <c r="A424" s="48"/>
      <c r="B424" s="44"/>
      <c r="C424" s="31" t="str">
        <f t="array" ref="C424">IF(B424="","",IFERROR(INDEX(Listas!$Q$5:$Q$20,MATCH(B424,Listas!$P$5:$P$20,0)),""))</f>
        <v/>
      </c>
      <c r="D424" s="44"/>
      <c r="E424" s="44"/>
      <c r="F424" s="44"/>
      <c r="G424" s="44"/>
      <c r="H424" s="44"/>
      <c r="I424" s="49"/>
      <c r="J424" s="47"/>
      <c r="K424" s="50"/>
      <c r="L424" s="43" t="str">
        <f t="shared" si="1"/>
        <v/>
      </c>
      <c r="M424" s="44"/>
    </row>
    <row r="425" ht="15.75" customHeight="1">
      <c r="A425" s="48"/>
      <c r="B425" s="44"/>
      <c r="C425" s="31" t="str">
        <f t="array" ref="C425">IF(B425="","",IFERROR(INDEX(Listas!$Q$5:$Q$20,MATCH(B425,Listas!$P$5:$P$20,0)),""))</f>
        <v/>
      </c>
      <c r="D425" s="44"/>
      <c r="E425" s="44"/>
      <c r="F425" s="44"/>
      <c r="G425" s="44"/>
      <c r="H425" s="44"/>
      <c r="I425" s="49"/>
      <c r="J425" s="47"/>
      <c r="K425" s="50"/>
      <c r="L425" s="43" t="str">
        <f t="shared" si="1"/>
        <v/>
      </c>
      <c r="M425" s="44"/>
    </row>
    <row r="426" ht="15.75" customHeight="1">
      <c r="A426" s="48"/>
      <c r="B426" s="44"/>
      <c r="C426" s="31" t="str">
        <f t="array" ref="C426">IF(B426="","",IFERROR(INDEX(Listas!$Q$5:$Q$20,MATCH(B426,Listas!$P$5:$P$20,0)),""))</f>
        <v/>
      </c>
      <c r="D426" s="44"/>
      <c r="E426" s="44"/>
      <c r="F426" s="44"/>
      <c r="G426" s="44"/>
      <c r="H426" s="44"/>
      <c r="I426" s="49"/>
      <c r="J426" s="47"/>
      <c r="K426" s="50"/>
      <c r="L426" s="43" t="str">
        <f t="shared" si="1"/>
        <v/>
      </c>
      <c r="M426" s="44"/>
    </row>
    <row r="427" ht="15.75" customHeight="1">
      <c r="A427" s="48"/>
      <c r="B427" s="44"/>
      <c r="C427" s="31" t="str">
        <f t="array" ref="C427">IF(B427="","",IFERROR(INDEX(Listas!$Q$5:$Q$20,MATCH(B427,Listas!$P$5:$P$20,0)),""))</f>
        <v/>
      </c>
      <c r="D427" s="44"/>
      <c r="E427" s="44"/>
      <c r="F427" s="44"/>
      <c r="G427" s="44"/>
      <c r="H427" s="44"/>
      <c r="I427" s="49"/>
      <c r="J427" s="47"/>
      <c r="K427" s="50"/>
      <c r="L427" s="43" t="str">
        <f t="shared" si="1"/>
        <v/>
      </c>
      <c r="M427" s="44"/>
    </row>
    <row r="428" ht="15.75" customHeight="1">
      <c r="A428" s="48"/>
      <c r="B428" s="44"/>
      <c r="C428" s="31" t="str">
        <f t="array" ref="C428">IF(B428="","",IFERROR(INDEX(Listas!$Q$5:$Q$20,MATCH(B428,Listas!$P$5:$P$20,0)),""))</f>
        <v/>
      </c>
      <c r="D428" s="44"/>
      <c r="E428" s="44"/>
      <c r="F428" s="44"/>
      <c r="G428" s="44"/>
      <c r="H428" s="44"/>
      <c r="I428" s="49"/>
      <c r="J428" s="47"/>
      <c r="K428" s="50"/>
      <c r="L428" s="43" t="str">
        <f t="shared" si="1"/>
        <v/>
      </c>
      <c r="M428" s="44"/>
    </row>
    <row r="429" ht="15.75" customHeight="1">
      <c r="A429" s="48"/>
      <c r="B429" s="44"/>
      <c r="C429" s="31" t="str">
        <f t="array" ref="C429">IF(B429="","",IFERROR(INDEX(Listas!$Q$5:$Q$20,MATCH(B429,Listas!$P$5:$P$20,0)),""))</f>
        <v/>
      </c>
      <c r="D429" s="44"/>
      <c r="E429" s="44"/>
      <c r="F429" s="44"/>
      <c r="G429" s="44"/>
      <c r="H429" s="44"/>
      <c r="I429" s="49"/>
      <c r="J429" s="47"/>
      <c r="K429" s="50"/>
      <c r="L429" s="43" t="str">
        <f t="shared" si="1"/>
        <v/>
      </c>
      <c r="M429" s="44"/>
    </row>
    <row r="430" ht="15.75" customHeight="1">
      <c r="A430" s="48"/>
      <c r="B430" s="44"/>
      <c r="C430" s="31" t="str">
        <f t="array" ref="C430">IF(B430="","",IFERROR(INDEX(Listas!$Q$5:$Q$20,MATCH(B430,Listas!$P$5:$P$20,0)),""))</f>
        <v/>
      </c>
      <c r="D430" s="44"/>
      <c r="E430" s="44"/>
      <c r="F430" s="44"/>
      <c r="G430" s="44"/>
      <c r="H430" s="44"/>
      <c r="I430" s="49"/>
      <c r="J430" s="47"/>
      <c r="K430" s="50"/>
      <c r="L430" s="43" t="str">
        <f t="shared" si="1"/>
        <v/>
      </c>
      <c r="M430" s="44"/>
    </row>
    <row r="431" ht="15.75" customHeight="1">
      <c r="A431" s="48"/>
      <c r="B431" s="44"/>
      <c r="C431" s="31" t="str">
        <f t="array" ref="C431">IF(B431="","",IFERROR(INDEX(Listas!$Q$5:$Q$20,MATCH(B431,Listas!$P$5:$P$20,0)),""))</f>
        <v/>
      </c>
      <c r="D431" s="44"/>
      <c r="E431" s="44"/>
      <c r="F431" s="44"/>
      <c r="G431" s="44"/>
      <c r="H431" s="44"/>
      <c r="I431" s="49"/>
      <c r="J431" s="47"/>
      <c r="K431" s="50"/>
      <c r="L431" s="43" t="str">
        <f t="shared" si="1"/>
        <v/>
      </c>
      <c r="M431" s="44"/>
    </row>
    <row r="432" ht="15.75" customHeight="1">
      <c r="A432" s="48"/>
      <c r="B432" s="44"/>
      <c r="C432" s="31" t="str">
        <f t="array" ref="C432">IF(B432="","",IFERROR(INDEX(Listas!$Q$5:$Q$20,MATCH(B432,Listas!$P$5:$P$20,0)),""))</f>
        <v/>
      </c>
      <c r="D432" s="44"/>
      <c r="E432" s="44"/>
      <c r="F432" s="44"/>
      <c r="G432" s="44"/>
      <c r="H432" s="44"/>
      <c r="I432" s="49"/>
      <c r="J432" s="47"/>
      <c r="K432" s="50"/>
      <c r="L432" s="43" t="str">
        <f t="shared" si="1"/>
        <v/>
      </c>
      <c r="M432" s="44"/>
    </row>
    <row r="433" ht="15.75" customHeight="1">
      <c r="A433" s="48"/>
      <c r="B433" s="44"/>
      <c r="C433" s="31" t="str">
        <f t="array" ref="C433">IF(B433="","",IFERROR(INDEX(Listas!$Q$5:$Q$20,MATCH(B433,Listas!$P$5:$P$20,0)),""))</f>
        <v/>
      </c>
      <c r="D433" s="44"/>
      <c r="E433" s="44"/>
      <c r="F433" s="44"/>
      <c r="G433" s="44"/>
      <c r="H433" s="44"/>
      <c r="I433" s="49"/>
      <c r="J433" s="47"/>
      <c r="K433" s="50"/>
      <c r="L433" s="43" t="str">
        <f t="shared" si="1"/>
        <v/>
      </c>
      <c r="M433" s="44"/>
    </row>
    <row r="434" ht="15.75" customHeight="1">
      <c r="A434" s="48"/>
      <c r="B434" s="44"/>
      <c r="C434" s="31" t="str">
        <f t="array" ref="C434">IF(B434="","",IFERROR(INDEX(Listas!$Q$5:$Q$20,MATCH(B434,Listas!$P$5:$P$20,0)),""))</f>
        <v/>
      </c>
      <c r="D434" s="44"/>
      <c r="E434" s="44"/>
      <c r="F434" s="44"/>
      <c r="G434" s="44"/>
      <c r="H434" s="44"/>
      <c r="I434" s="49"/>
      <c r="J434" s="47"/>
      <c r="K434" s="50"/>
      <c r="L434" s="43" t="str">
        <f t="shared" si="1"/>
        <v/>
      </c>
      <c r="M434" s="44"/>
    </row>
    <row r="435" ht="15.75" customHeight="1">
      <c r="A435" s="48"/>
      <c r="B435" s="44"/>
      <c r="C435" s="31" t="str">
        <f t="array" ref="C435">IF(B435="","",IFERROR(INDEX(Listas!$Q$5:$Q$20,MATCH(B435,Listas!$P$5:$P$20,0)),""))</f>
        <v/>
      </c>
      <c r="D435" s="44"/>
      <c r="E435" s="44"/>
      <c r="F435" s="44"/>
      <c r="G435" s="44"/>
      <c r="H435" s="44"/>
      <c r="I435" s="49"/>
      <c r="J435" s="47"/>
      <c r="K435" s="50"/>
      <c r="L435" s="43" t="str">
        <f t="shared" si="1"/>
        <v/>
      </c>
      <c r="M435" s="44"/>
    </row>
    <row r="436" ht="15.75" customHeight="1">
      <c r="A436" s="48"/>
      <c r="B436" s="44"/>
      <c r="C436" s="31" t="str">
        <f t="array" ref="C436">IF(B436="","",IFERROR(INDEX(Listas!$Q$5:$Q$20,MATCH(B436,Listas!$P$5:$P$20,0)),""))</f>
        <v/>
      </c>
      <c r="D436" s="44"/>
      <c r="E436" s="44"/>
      <c r="F436" s="44"/>
      <c r="G436" s="44"/>
      <c r="H436" s="44"/>
      <c r="I436" s="49"/>
      <c r="J436" s="47"/>
      <c r="K436" s="50"/>
      <c r="L436" s="43" t="str">
        <f t="shared" si="1"/>
        <v/>
      </c>
      <c r="M436" s="44"/>
    </row>
    <row r="437" ht="15.75" customHeight="1">
      <c r="A437" s="48"/>
      <c r="B437" s="44"/>
      <c r="C437" s="31" t="str">
        <f t="array" ref="C437">IF(B437="","",IFERROR(INDEX(Listas!$Q$5:$Q$20,MATCH(B437,Listas!$P$5:$P$20,0)),""))</f>
        <v/>
      </c>
      <c r="D437" s="44"/>
      <c r="E437" s="44"/>
      <c r="F437" s="44"/>
      <c r="G437" s="44"/>
      <c r="H437" s="44"/>
      <c r="I437" s="49"/>
      <c r="J437" s="47"/>
      <c r="K437" s="50"/>
      <c r="L437" s="43" t="str">
        <f t="shared" si="1"/>
        <v/>
      </c>
      <c r="M437" s="44"/>
    </row>
    <row r="438" ht="15.75" customHeight="1">
      <c r="A438" s="48"/>
      <c r="B438" s="44"/>
      <c r="C438" s="31" t="str">
        <f t="array" ref="C438">IF(B438="","",IFERROR(INDEX(Listas!$Q$5:$Q$20,MATCH(B438,Listas!$P$5:$P$20,0)),""))</f>
        <v/>
      </c>
      <c r="D438" s="44"/>
      <c r="E438" s="44"/>
      <c r="F438" s="44"/>
      <c r="G438" s="44"/>
      <c r="H438" s="44"/>
      <c r="I438" s="49"/>
      <c r="J438" s="47"/>
      <c r="K438" s="50"/>
      <c r="L438" s="43" t="str">
        <f t="shared" si="1"/>
        <v/>
      </c>
      <c r="M438" s="44"/>
    </row>
    <row r="439" ht="15.75" customHeight="1">
      <c r="A439" s="48"/>
      <c r="B439" s="44"/>
      <c r="C439" s="31" t="str">
        <f t="array" ref="C439">IF(B439="","",IFERROR(INDEX(Listas!$Q$5:$Q$20,MATCH(B439,Listas!$P$5:$P$20,0)),""))</f>
        <v/>
      </c>
      <c r="D439" s="44"/>
      <c r="E439" s="44"/>
      <c r="F439" s="44"/>
      <c r="G439" s="44"/>
      <c r="H439" s="44"/>
      <c r="I439" s="49"/>
      <c r="J439" s="47"/>
      <c r="K439" s="50"/>
      <c r="L439" s="43" t="str">
        <f t="shared" si="1"/>
        <v/>
      </c>
      <c r="M439" s="44"/>
    </row>
    <row r="440" ht="15.75" customHeight="1">
      <c r="A440" s="48"/>
      <c r="B440" s="44"/>
      <c r="C440" s="31" t="str">
        <f t="array" ref="C440">IF(B440="","",IFERROR(INDEX(Listas!$Q$5:$Q$20,MATCH(B440,Listas!$P$5:$P$20,0)),""))</f>
        <v/>
      </c>
      <c r="D440" s="44"/>
      <c r="E440" s="44"/>
      <c r="F440" s="44"/>
      <c r="G440" s="44"/>
      <c r="H440" s="44"/>
      <c r="I440" s="49"/>
      <c r="J440" s="47"/>
      <c r="K440" s="50"/>
      <c r="L440" s="43" t="str">
        <f t="shared" si="1"/>
        <v/>
      </c>
      <c r="M440" s="44"/>
    </row>
    <row r="441" ht="15.75" customHeight="1">
      <c r="A441" s="48"/>
      <c r="B441" s="44"/>
      <c r="C441" s="31" t="str">
        <f t="array" ref="C441">IF(B441="","",IFERROR(INDEX(Listas!$Q$5:$Q$20,MATCH(B441,Listas!$P$5:$P$20,0)),""))</f>
        <v/>
      </c>
      <c r="D441" s="44"/>
      <c r="E441" s="44"/>
      <c r="F441" s="44"/>
      <c r="G441" s="44"/>
      <c r="H441" s="44"/>
      <c r="I441" s="49"/>
      <c r="J441" s="47"/>
      <c r="K441" s="50"/>
      <c r="L441" s="43" t="str">
        <f t="shared" si="1"/>
        <v/>
      </c>
      <c r="M441" s="44"/>
    </row>
    <row r="442" ht="15.75" customHeight="1">
      <c r="A442" s="48"/>
      <c r="B442" s="44"/>
      <c r="C442" s="31" t="str">
        <f t="array" ref="C442">IF(B442="","",IFERROR(INDEX(Listas!$Q$5:$Q$20,MATCH(B442,Listas!$P$5:$P$20,0)),""))</f>
        <v/>
      </c>
      <c r="D442" s="44"/>
      <c r="E442" s="44"/>
      <c r="F442" s="44"/>
      <c r="G442" s="44"/>
      <c r="H442" s="44"/>
      <c r="I442" s="49"/>
      <c r="J442" s="47"/>
      <c r="K442" s="50"/>
      <c r="L442" s="43" t="str">
        <f t="shared" si="1"/>
        <v/>
      </c>
      <c r="M442" s="44"/>
    </row>
    <row r="443" ht="15.75" customHeight="1">
      <c r="A443" s="48"/>
      <c r="B443" s="44"/>
      <c r="C443" s="31" t="str">
        <f t="array" ref="C443">IF(B443="","",IFERROR(INDEX(Listas!$Q$5:$Q$20,MATCH(B443,Listas!$P$5:$P$20,0)),""))</f>
        <v/>
      </c>
      <c r="D443" s="44"/>
      <c r="E443" s="44"/>
      <c r="F443" s="44"/>
      <c r="G443" s="44"/>
      <c r="H443" s="44"/>
      <c r="I443" s="49"/>
      <c r="J443" s="47"/>
      <c r="K443" s="50"/>
      <c r="L443" s="43" t="str">
        <f t="shared" si="1"/>
        <v/>
      </c>
      <c r="M443" s="44"/>
    </row>
    <row r="444" ht="15.75" customHeight="1">
      <c r="A444" s="48"/>
      <c r="B444" s="44"/>
      <c r="C444" s="31" t="str">
        <f t="array" ref="C444">IF(B444="","",IFERROR(INDEX(Listas!$Q$5:$Q$20,MATCH(B444,Listas!$P$5:$P$20,0)),""))</f>
        <v/>
      </c>
      <c r="D444" s="44"/>
      <c r="E444" s="44"/>
      <c r="F444" s="44"/>
      <c r="G444" s="44"/>
      <c r="H444" s="44"/>
      <c r="I444" s="49"/>
      <c r="J444" s="47"/>
      <c r="K444" s="50"/>
      <c r="L444" s="43" t="str">
        <f t="shared" si="1"/>
        <v/>
      </c>
      <c r="M444" s="44"/>
    </row>
    <row r="445" ht="15.75" customHeight="1">
      <c r="A445" s="48"/>
      <c r="B445" s="44"/>
      <c r="C445" s="31" t="str">
        <f t="array" ref="C445">IF(B445="","",IFERROR(INDEX(Listas!$Q$5:$Q$20,MATCH(B445,Listas!$P$5:$P$20,0)),""))</f>
        <v/>
      </c>
      <c r="D445" s="44"/>
      <c r="E445" s="44"/>
      <c r="F445" s="44"/>
      <c r="G445" s="44"/>
      <c r="H445" s="44"/>
      <c r="I445" s="49"/>
      <c r="J445" s="47"/>
      <c r="K445" s="50"/>
      <c r="L445" s="43" t="str">
        <f t="shared" si="1"/>
        <v/>
      </c>
      <c r="M445" s="44"/>
    </row>
    <row r="446" ht="15.75" customHeight="1">
      <c r="A446" s="48"/>
      <c r="B446" s="44"/>
      <c r="C446" s="31" t="str">
        <f t="array" ref="C446">IF(B446="","",IFERROR(INDEX(Listas!$Q$5:$Q$20,MATCH(B446,Listas!$P$5:$P$20,0)),""))</f>
        <v/>
      </c>
      <c r="D446" s="44"/>
      <c r="E446" s="44"/>
      <c r="F446" s="44"/>
      <c r="G446" s="44"/>
      <c r="H446" s="44"/>
      <c r="I446" s="49"/>
      <c r="J446" s="47"/>
      <c r="K446" s="50"/>
      <c r="L446" s="43" t="str">
        <f t="shared" si="1"/>
        <v/>
      </c>
      <c r="M446" s="44"/>
    </row>
    <row r="447" ht="15.75" customHeight="1">
      <c r="A447" s="48"/>
      <c r="B447" s="44"/>
      <c r="C447" s="31" t="str">
        <f t="array" ref="C447">IF(B447="","",IFERROR(INDEX(Listas!$Q$5:$Q$20,MATCH(B447,Listas!$P$5:$P$20,0)),""))</f>
        <v/>
      </c>
      <c r="D447" s="44"/>
      <c r="E447" s="44"/>
      <c r="F447" s="44"/>
      <c r="G447" s="44"/>
      <c r="H447" s="44"/>
      <c r="I447" s="49"/>
      <c r="J447" s="47"/>
      <c r="K447" s="50"/>
      <c r="L447" s="43" t="str">
        <f t="shared" si="1"/>
        <v/>
      </c>
      <c r="M447" s="44"/>
    </row>
    <row r="448" ht="15.75" customHeight="1">
      <c r="A448" s="48"/>
      <c r="B448" s="44"/>
      <c r="C448" s="31" t="str">
        <f t="array" ref="C448">IF(B448="","",IFERROR(INDEX(Listas!$Q$5:$Q$20,MATCH(B448,Listas!$P$5:$P$20,0)),""))</f>
        <v/>
      </c>
      <c r="D448" s="44"/>
      <c r="E448" s="44"/>
      <c r="F448" s="44"/>
      <c r="G448" s="44"/>
      <c r="H448" s="44"/>
      <c r="I448" s="49"/>
      <c r="J448" s="47"/>
      <c r="K448" s="50"/>
      <c r="L448" s="43" t="str">
        <f t="shared" si="1"/>
        <v/>
      </c>
      <c r="M448" s="44"/>
    </row>
    <row r="449" ht="15.75" customHeight="1">
      <c r="A449" s="48"/>
      <c r="B449" s="44"/>
      <c r="C449" s="31" t="str">
        <f t="array" ref="C449">IF(B449="","",IFERROR(INDEX(Listas!$Q$5:$Q$20,MATCH(B449,Listas!$P$5:$P$20,0)),""))</f>
        <v/>
      </c>
      <c r="D449" s="44"/>
      <c r="E449" s="44"/>
      <c r="F449" s="44"/>
      <c r="G449" s="44"/>
      <c r="H449" s="44"/>
      <c r="I449" s="49"/>
      <c r="J449" s="47"/>
      <c r="K449" s="50"/>
      <c r="L449" s="43" t="str">
        <f t="shared" si="1"/>
        <v/>
      </c>
      <c r="M449" s="44"/>
    </row>
    <row r="450" ht="15.75" customHeight="1">
      <c r="A450" s="48"/>
      <c r="B450" s="44"/>
      <c r="C450" s="31" t="str">
        <f t="array" ref="C450">IF(B450="","",IFERROR(INDEX(Listas!$Q$5:$Q$20,MATCH(B450,Listas!$P$5:$P$20,0)),""))</f>
        <v/>
      </c>
      <c r="D450" s="44"/>
      <c r="E450" s="44"/>
      <c r="F450" s="44"/>
      <c r="G450" s="44"/>
      <c r="H450" s="44"/>
      <c r="I450" s="49"/>
      <c r="J450" s="47"/>
      <c r="K450" s="50"/>
      <c r="L450" s="43" t="str">
        <f t="shared" si="1"/>
        <v/>
      </c>
      <c r="M450" s="44"/>
    </row>
    <row r="451" ht="15.75" customHeight="1">
      <c r="A451" s="48"/>
      <c r="B451" s="44"/>
      <c r="C451" s="31" t="str">
        <f t="array" ref="C451">IF(B451="","",IFERROR(INDEX(Listas!$Q$5:$Q$20,MATCH(B451,Listas!$P$5:$P$20,0)),""))</f>
        <v/>
      </c>
      <c r="D451" s="44"/>
      <c r="E451" s="44"/>
      <c r="F451" s="44"/>
      <c r="G451" s="44"/>
      <c r="H451" s="44"/>
      <c r="I451" s="49"/>
      <c r="J451" s="47"/>
      <c r="K451" s="50"/>
      <c r="L451" s="43" t="str">
        <f t="shared" si="1"/>
        <v/>
      </c>
      <c r="M451" s="44"/>
    </row>
    <row r="452" ht="15.75" customHeight="1">
      <c r="A452" s="48"/>
      <c r="B452" s="44"/>
      <c r="C452" s="31" t="str">
        <f t="array" ref="C452">IF(B452="","",IFERROR(INDEX(Listas!$Q$5:$Q$20,MATCH(B452,Listas!$P$5:$P$20,0)),""))</f>
        <v/>
      </c>
      <c r="D452" s="44"/>
      <c r="E452" s="44"/>
      <c r="F452" s="44"/>
      <c r="G452" s="44"/>
      <c r="H452" s="44"/>
      <c r="I452" s="49"/>
      <c r="J452" s="47"/>
      <c r="K452" s="50"/>
      <c r="L452" s="43" t="str">
        <f t="shared" si="1"/>
        <v/>
      </c>
      <c r="M452" s="44"/>
    </row>
    <row r="453" ht="15.75" customHeight="1">
      <c r="A453" s="48"/>
      <c r="B453" s="44"/>
      <c r="C453" s="31" t="str">
        <f t="array" ref="C453">IF(B453="","",IFERROR(INDEX(Listas!$Q$5:$Q$20,MATCH(B453,Listas!$P$5:$P$20,0)),""))</f>
        <v/>
      </c>
      <c r="D453" s="44"/>
      <c r="E453" s="44"/>
      <c r="F453" s="44"/>
      <c r="G453" s="44"/>
      <c r="H453" s="44"/>
      <c r="I453" s="49"/>
      <c r="J453" s="47"/>
      <c r="K453" s="50"/>
      <c r="L453" s="43" t="str">
        <f t="shared" si="1"/>
        <v/>
      </c>
      <c r="M453" s="44"/>
    </row>
    <row r="454" ht="15.75" customHeight="1">
      <c r="A454" s="48"/>
      <c r="B454" s="44"/>
      <c r="C454" s="31" t="str">
        <f t="array" ref="C454">IF(B454="","",IFERROR(INDEX(Listas!$Q$5:$Q$20,MATCH(B454,Listas!$P$5:$P$20,0)),""))</f>
        <v/>
      </c>
      <c r="D454" s="44"/>
      <c r="E454" s="44"/>
      <c r="F454" s="44"/>
      <c r="G454" s="44"/>
      <c r="H454" s="44"/>
      <c r="I454" s="49"/>
      <c r="J454" s="47"/>
      <c r="K454" s="50"/>
      <c r="L454" s="43" t="str">
        <f t="shared" si="1"/>
        <v/>
      </c>
      <c r="M454" s="44"/>
    </row>
    <row r="455" ht="15.75" customHeight="1">
      <c r="A455" s="48"/>
      <c r="B455" s="44"/>
      <c r="C455" s="31" t="str">
        <f t="array" ref="C455">IF(B455="","",IFERROR(INDEX(Listas!$Q$5:$Q$20,MATCH(B455,Listas!$P$5:$P$20,0)),""))</f>
        <v/>
      </c>
      <c r="D455" s="44"/>
      <c r="E455" s="44"/>
      <c r="F455" s="44"/>
      <c r="G455" s="44"/>
      <c r="H455" s="44"/>
      <c r="I455" s="49"/>
      <c r="J455" s="47"/>
      <c r="K455" s="50"/>
      <c r="L455" s="43" t="str">
        <f t="shared" si="1"/>
        <v/>
      </c>
      <c r="M455" s="44"/>
    </row>
    <row r="456" ht="15.75" customHeight="1">
      <c r="A456" s="48"/>
      <c r="B456" s="44"/>
      <c r="C456" s="31" t="str">
        <f t="array" ref="C456">IF(B456="","",IFERROR(INDEX(Listas!$Q$5:$Q$20,MATCH(B456,Listas!$P$5:$P$20,0)),""))</f>
        <v/>
      </c>
      <c r="D456" s="44"/>
      <c r="E456" s="44"/>
      <c r="F456" s="44"/>
      <c r="G456" s="44"/>
      <c r="H456" s="44"/>
      <c r="I456" s="49"/>
      <c r="J456" s="47"/>
      <c r="K456" s="50"/>
      <c r="L456" s="43" t="str">
        <f t="shared" si="1"/>
        <v/>
      </c>
      <c r="M456" s="44"/>
    </row>
    <row r="457" ht="15.75" customHeight="1">
      <c r="A457" s="48"/>
      <c r="B457" s="44"/>
      <c r="C457" s="31" t="str">
        <f t="array" ref="C457">IF(B457="","",IFERROR(INDEX(Listas!$Q$5:$Q$20,MATCH(B457,Listas!$P$5:$P$20,0)),""))</f>
        <v/>
      </c>
      <c r="D457" s="44"/>
      <c r="E457" s="44"/>
      <c r="F457" s="44"/>
      <c r="G457" s="44"/>
      <c r="H457" s="44"/>
      <c r="I457" s="49"/>
      <c r="J457" s="47"/>
      <c r="K457" s="50"/>
      <c r="L457" s="43" t="str">
        <f t="shared" si="1"/>
        <v/>
      </c>
      <c r="M457" s="44"/>
    </row>
    <row r="458" ht="15.75" customHeight="1">
      <c r="A458" s="48"/>
      <c r="B458" s="44"/>
      <c r="C458" s="31" t="str">
        <f t="array" ref="C458">IF(B458="","",IFERROR(INDEX(Listas!$Q$5:$Q$20,MATCH(B458,Listas!$P$5:$P$20,0)),""))</f>
        <v/>
      </c>
      <c r="D458" s="44"/>
      <c r="E458" s="44"/>
      <c r="F458" s="44"/>
      <c r="G458" s="44"/>
      <c r="H458" s="44"/>
      <c r="I458" s="49"/>
      <c r="J458" s="47"/>
      <c r="K458" s="50"/>
      <c r="L458" s="43" t="str">
        <f t="shared" si="1"/>
        <v/>
      </c>
      <c r="M458" s="44"/>
    </row>
    <row r="459" ht="15.75" customHeight="1">
      <c r="A459" s="48"/>
      <c r="B459" s="44"/>
      <c r="C459" s="31" t="str">
        <f t="array" ref="C459">IF(B459="","",IFERROR(INDEX(Listas!$Q$5:$Q$20,MATCH(B459,Listas!$P$5:$P$20,0)),""))</f>
        <v/>
      </c>
      <c r="D459" s="44"/>
      <c r="E459" s="44"/>
      <c r="F459" s="44"/>
      <c r="G459" s="44"/>
      <c r="H459" s="44"/>
      <c r="I459" s="49"/>
      <c r="J459" s="47"/>
      <c r="K459" s="50"/>
      <c r="L459" s="43" t="str">
        <f t="shared" si="1"/>
        <v/>
      </c>
      <c r="M459" s="44"/>
    </row>
    <row r="460" ht="15.75" customHeight="1">
      <c r="A460" s="48"/>
      <c r="B460" s="44"/>
      <c r="C460" s="31" t="str">
        <f t="array" ref="C460">IF(B460="","",IFERROR(INDEX(Listas!$Q$5:$Q$20,MATCH(B460,Listas!$P$5:$P$20,0)),""))</f>
        <v/>
      </c>
      <c r="D460" s="44"/>
      <c r="E460" s="44"/>
      <c r="F460" s="44"/>
      <c r="G460" s="44"/>
      <c r="H460" s="44"/>
      <c r="I460" s="49"/>
      <c r="J460" s="47"/>
      <c r="K460" s="50"/>
      <c r="L460" s="43" t="str">
        <f t="shared" si="1"/>
        <v/>
      </c>
      <c r="M460" s="44"/>
    </row>
    <row r="461" ht="15.75" customHeight="1">
      <c r="A461" s="48"/>
      <c r="B461" s="44"/>
      <c r="C461" s="31" t="str">
        <f t="array" ref="C461">IF(B461="","",IFERROR(INDEX(Listas!$Q$5:$Q$20,MATCH(B461,Listas!$P$5:$P$20,0)),""))</f>
        <v/>
      </c>
      <c r="D461" s="44"/>
      <c r="E461" s="44"/>
      <c r="F461" s="44"/>
      <c r="G461" s="44"/>
      <c r="H461" s="44"/>
      <c r="I461" s="49"/>
      <c r="J461" s="47"/>
      <c r="K461" s="50"/>
      <c r="L461" s="43" t="str">
        <f t="shared" si="1"/>
        <v/>
      </c>
      <c r="M461" s="44"/>
    </row>
    <row r="462" ht="15.75" customHeight="1">
      <c r="A462" s="48"/>
      <c r="B462" s="44"/>
      <c r="C462" s="31" t="str">
        <f t="array" ref="C462">IF(B462="","",IFERROR(INDEX(Listas!$Q$5:$Q$20,MATCH(B462,Listas!$P$5:$P$20,0)),""))</f>
        <v/>
      </c>
      <c r="D462" s="44"/>
      <c r="E462" s="44"/>
      <c r="F462" s="44"/>
      <c r="G462" s="44"/>
      <c r="H462" s="44"/>
      <c r="I462" s="49"/>
      <c r="J462" s="47"/>
      <c r="K462" s="50"/>
      <c r="L462" s="43" t="str">
        <f t="shared" si="1"/>
        <v/>
      </c>
      <c r="M462" s="44"/>
    </row>
    <row r="463" ht="15.75" customHeight="1">
      <c r="A463" s="48"/>
      <c r="B463" s="44"/>
      <c r="C463" s="31" t="str">
        <f t="array" ref="C463">IF(B463="","",IFERROR(INDEX(Listas!$Q$5:$Q$20,MATCH(B463,Listas!$P$5:$P$20,0)),""))</f>
        <v/>
      </c>
      <c r="D463" s="44"/>
      <c r="E463" s="44"/>
      <c r="F463" s="44"/>
      <c r="G463" s="44"/>
      <c r="H463" s="44"/>
      <c r="I463" s="49"/>
      <c r="J463" s="47"/>
      <c r="K463" s="50"/>
      <c r="L463" s="43" t="str">
        <f t="shared" si="1"/>
        <v/>
      </c>
      <c r="M463" s="44"/>
    </row>
    <row r="464" ht="15.75" customHeight="1">
      <c r="A464" s="48"/>
      <c r="B464" s="44"/>
      <c r="C464" s="31" t="str">
        <f t="array" ref="C464">IF(B464="","",IFERROR(INDEX(Listas!$Q$5:$Q$20,MATCH(B464,Listas!$P$5:$P$20,0)),""))</f>
        <v/>
      </c>
      <c r="D464" s="44"/>
      <c r="E464" s="44"/>
      <c r="F464" s="44"/>
      <c r="G464" s="44"/>
      <c r="H464" s="44"/>
      <c r="I464" s="49"/>
      <c r="J464" s="47"/>
      <c r="K464" s="50"/>
      <c r="L464" s="43" t="str">
        <f t="shared" si="1"/>
        <v/>
      </c>
      <c r="M464" s="44"/>
    </row>
    <row r="465" ht="15.75" customHeight="1">
      <c r="A465" s="48"/>
      <c r="B465" s="44"/>
      <c r="C465" s="31" t="str">
        <f t="array" ref="C465">IF(B465="","",IFERROR(INDEX(Listas!$Q$5:$Q$20,MATCH(B465,Listas!$P$5:$P$20,0)),""))</f>
        <v/>
      </c>
      <c r="D465" s="44"/>
      <c r="E465" s="44"/>
      <c r="F465" s="44"/>
      <c r="G465" s="44"/>
      <c r="H465" s="44"/>
      <c r="I465" s="49"/>
      <c r="J465" s="47"/>
      <c r="K465" s="50"/>
      <c r="L465" s="43" t="str">
        <f t="shared" si="1"/>
        <v/>
      </c>
      <c r="M465" s="44"/>
    </row>
    <row r="466" ht="15.75" customHeight="1">
      <c r="A466" s="48"/>
      <c r="B466" s="44"/>
      <c r="C466" s="31" t="str">
        <f t="array" ref="C466">IF(B466="","",IFERROR(INDEX(Listas!$Q$5:$Q$20,MATCH(B466,Listas!$P$5:$P$20,0)),""))</f>
        <v/>
      </c>
      <c r="D466" s="44"/>
      <c r="E466" s="44"/>
      <c r="F466" s="44"/>
      <c r="G466" s="44"/>
      <c r="H466" s="44"/>
      <c r="I466" s="49"/>
      <c r="J466" s="47"/>
      <c r="K466" s="50"/>
      <c r="L466" s="43" t="str">
        <f t="shared" si="1"/>
        <v/>
      </c>
      <c r="M466" s="44"/>
    </row>
    <row r="467" ht="15.75" customHeight="1">
      <c r="A467" s="48"/>
      <c r="B467" s="44"/>
      <c r="C467" s="31" t="str">
        <f t="array" ref="C467">IF(B467="","",IFERROR(INDEX(Listas!$Q$5:$Q$20,MATCH(B467,Listas!$P$5:$P$20,0)),""))</f>
        <v/>
      </c>
      <c r="D467" s="44"/>
      <c r="E467" s="44"/>
      <c r="F467" s="44"/>
      <c r="G467" s="44"/>
      <c r="H467" s="44"/>
      <c r="I467" s="49"/>
      <c r="J467" s="47"/>
      <c r="K467" s="50"/>
      <c r="L467" s="43" t="str">
        <f t="shared" si="1"/>
        <v/>
      </c>
      <c r="M467" s="44"/>
    </row>
    <row r="468" ht="15.75" customHeight="1">
      <c r="A468" s="48"/>
      <c r="B468" s="44"/>
      <c r="C468" s="31" t="str">
        <f t="array" ref="C468">IF(B468="","",IFERROR(INDEX(Listas!$Q$5:$Q$20,MATCH(B468,Listas!$P$5:$P$20,0)),""))</f>
        <v/>
      </c>
      <c r="D468" s="44"/>
      <c r="E468" s="44"/>
      <c r="F468" s="44"/>
      <c r="G468" s="44"/>
      <c r="H468" s="44"/>
      <c r="I468" s="49"/>
      <c r="J468" s="47"/>
      <c r="K468" s="50"/>
      <c r="L468" s="43" t="str">
        <f t="shared" si="1"/>
        <v/>
      </c>
      <c r="M468" s="44"/>
    </row>
    <row r="469" ht="15.75" customHeight="1">
      <c r="A469" s="48"/>
      <c r="B469" s="44"/>
      <c r="C469" s="31" t="str">
        <f t="array" ref="C469">IF(B469="","",IFERROR(INDEX(Listas!$Q$5:$Q$20,MATCH(B469,Listas!$P$5:$P$20,0)),""))</f>
        <v/>
      </c>
      <c r="D469" s="44"/>
      <c r="E469" s="44"/>
      <c r="F469" s="44"/>
      <c r="G469" s="44"/>
      <c r="H469" s="44"/>
      <c r="I469" s="49"/>
      <c r="J469" s="47"/>
      <c r="K469" s="50"/>
      <c r="L469" s="43" t="str">
        <f t="shared" si="1"/>
        <v/>
      </c>
      <c r="M469" s="44"/>
    </row>
    <row r="470" ht="15.75" customHeight="1">
      <c r="A470" s="48"/>
      <c r="B470" s="44"/>
      <c r="C470" s="31" t="str">
        <f t="array" ref="C470">IF(B470="","",IFERROR(INDEX(Listas!$Q$5:$Q$20,MATCH(B470,Listas!$P$5:$P$20,0)),""))</f>
        <v/>
      </c>
      <c r="D470" s="44"/>
      <c r="E470" s="44"/>
      <c r="F470" s="44"/>
      <c r="G470" s="44"/>
      <c r="H470" s="44"/>
      <c r="I470" s="49"/>
      <c r="J470" s="47"/>
      <c r="K470" s="50"/>
      <c r="L470" s="43" t="str">
        <f t="shared" si="1"/>
        <v/>
      </c>
      <c r="M470" s="44"/>
    </row>
    <row r="471" ht="15.75" customHeight="1">
      <c r="A471" s="48"/>
      <c r="B471" s="44"/>
      <c r="C471" s="31" t="str">
        <f t="array" ref="C471">IF(B471="","",IFERROR(INDEX(Listas!$Q$5:$Q$20,MATCH(B471,Listas!$P$5:$P$20,0)),""))</f>
        <v/>
      </c>
      <c r="D471" s="44"/>
      <c r="E471" s="44"/>
      <c r="F471" s="44"/>
      <c r="G471" s="44"/>
      <c r="H471" s="44"/>
      <c r="I471" s="49"/>
      <c r="J471" s="47"/>
      <c r="K471" s="50"/>
      <c r="L471" s="43" t="str">
        <f t="shared" si="1"/>
        <v/>
      </c>
      <c r="M471" s="44"/>
    </row>
    <row r="472" ht="15.75" customHeight="1">
      <c r="A472" s="48"/>
      <c r="B472" s="44"/>
      <c r="C472" s="31" t="str">
        <f t="array" ref="C472">IF(B472="","",IFERROR(INDEX(Listas!$Q$5:$Q$20,MATCH(B472,Listas!$P$5:$P$20,0)),""))</f>
        <v/>
      </c>
      <c r="D472" s="44"/>
      <c r="E472" s="44"/>
      <c r="F472" s="44"/>
      <c r="G472" s="44"/>
      <c r="H472" s="44"/>
      <c r="I472" s="49"/>
      <c r="J472" s="47"/>
      <c r="K472" s="50"/>
      <c r="L472" s="43" t="str">
        <f t="shared" si="1"/>
        <v/>
      </c>
      <c r="M472" s="44"/>
    </row>
    <row r="473" ht="15.75" customHeight="1">
      <c r="A473" s="48"/>
      <c r="B473" s="44"/>
      <c r="C473" s="31" t="str">
        <f t="array" ref="C473">IF(B473="","",IFERROR(INDEX(Listas!$Q$5:$Q$20,MATCH(B473,Listas!$P$5:$P$20,0)),""))</f>
        <v/>
      </c>
      <c r="D473" s="44"/>
      <c r="E473" s="44"/>
      <c r="F473" s="44"/>
      <c r="G473" s="44"/>
      <c r="H473" s="44"/>
      <c r="I473" s="49"/>
      <c r="J473" s="47"/>
      <c r="K473" s="50"/>
      <c r="L473" s="43" t="str">
        <f t="shared" si="1"/>
        <v/>
      </c>
      <c r="M473" s="44"/>
    </row>
    <row r="474" ht="15.75" customHeight="1">
      <c r="A474" s="48"/>
      <c r="B474" s="44"/>
      <c r="C474" s="31" t="str">
        <f t="array" ref="C474">IF(B474="","",IFERROR(INDEX(Listas!$Q$5:$Q$20,MATCH(B474,Listas!$P$5:$P$20,0)),""))</f>
        <v/>
      </c>
      <c r="D474" s="44"/>
      <c r="E474" s="44"/>
      <c r="F474" s="44"/>
      <c r="G474" s="44"/>
      <c r="H474" s="44"/>
      <c r="I474" s="49"/>
      <c r="J474" s="47"/>
      <c r="K474" s="50"/>
      <c r="L474" s="43" t="str">
        <f t="shared" si="1"/>
        <v/>
      </c>
      <c r="M474" s="44"/>
    </row>
    <row r="475" ht="15.75" customHeight="1">
      <c r="A475" s="48"/>
      <c r="B475" s="44"/>
      <c r="C475" s="31" t="str">
        <f t="array" ref="C475">IF(B475="","",IFERROR(INDEX(Listas!$Q$5:$Q$20,MATCH(B475,Listas!$P$5:$P$20,0)),""))</f>
        <v/>
      </c>
      <c r="D475" s="44"/>
      <c r="E475" s="44"/>
      <c r="F475" s="44"/>
      <c r="G475" s="44"/>
      <c r="H475" s="44"/>
      <c r="I475" s="49"/>
      <c r="J475" s="47"/>
      <c r="K475" s="50"/>
      <c r="L475" s="43" t="str">
        <f t="shared" si="1"/>
        <v/>
      </c>
      <c r="M475" s="44"/>
    </row>
    <row r="476" ht="15.75" customHeight="1">
      <c r="A476" s="48"/>
      <c r="B476" s="44"/>
      <c r="C476" s="31" t="str">
        <f t="array" ref="C476">IF(B476="","",IFERROR(INDEX(Listas!$Q$5:$Q$20,MATCH(B476,Listas!$P$5:$P$20,0)),""))</f>
        <v/>
      </c>
      <c r="D476" s="44"/>
      <c r="E476" s="44"/>
      <c r="F476" s="44"/>
      <c r="G476" s="44"/>
      <c r="H476" s="44"/>
      <c r="I476" s="49"/>
      <c r="J476" s="47"/>
      <c r="K476" s="50"/>
      <c r="L476" s="43" t="str">
        <f t="shared" si="1"/>
        <v/>
      </c>
      <c r="M476" s="44"/>
    </row>
    <row r="477" ht="15.75" customHeight="1">
      <c r="A477" s="48"/>
      <c r="B477" s="44"/>
      <c r="C477" s="31" t="str">
        <f t="array" ref="C477">IF(B477="","",IFERROR(INDEX(Listas!$Q$5:$Q$20,MATCH(B477,Listas!$P$5:$P$20,0)),""))</f>
        <v/>
      </c>
      <c r="D477" s="44"/>
      <c r="E477" s="44"/>
      <c r="F477" s="44"/>
      <c r="G477" s="44"/>
      <c r="H477" s="44"/>
      <c r="I477" s="49"/>
      <c r="J477" s="47"/>
      <c r="K477" s="50"/>
      <c r="L477" s="43" t="str">
        <f t="shared" si="1"/>
        <v/>
      </c>
      <c r="M477" s="44"/>
    </row>
    <row r="478" ht="15.75" customHeight="1">
      <c r="A478" s="48"/>
      <c r="B478" s="44"/>
      <c r="C478" s="31" t="str">
        <f t="array" ref="C478">IF(B478="","",IFERROR(INDEX(Listas!$Q$5:$Q$20,MATCH(B478,Listas!$P$5:$P$20,0)),""))</f>
        <v/>
      </c>
      <c r="D478" s="44"/>
      <c r="E478" s="44"/>
      <c r="F478" s="44"/>
      <c r="G478" s="44"/>
      <c r="H478" s="44"/>
      <c r="I478" s="49"/>
      <c r="J478" s="47"/>
      <c r="K478" s="50"/>
      <c r="L478" s="43" t="str">
        <f t="shared" si="1"/>
        <v/>
      </c>
      <c r="M478" s="44"/>
    </row>
    <row r="479" ht="15.75" customHeight="1">
      <c r="A479" s="48"/>
      <c r="B479" s="44"/>
      <c r="C479" s="31" t="str">
        <f t="array" ref="C479">IF(B479="","",IFERROR(INDEX(Listas!$Q$5:$Q$20,MATCH(B479,Listas!$P$5:$P$20,0)),""))</f>
        <v/>
      </c>
      <c r="D479" s="44"/>
      <c r="E479" s="44"/>
      <c r="F479" s="44"/>
      <c r="G479" s="44"/>
      <c r="H479" s="44"/>
      <c r="I479" s="49"/>
      <c r="J479" s="47"/>
      <c r="K479" s="50"/>
      <c r="L479" s="43" t="str">
        <f t="shared" si="1"/>
        <v/>
      </c>
      <c r="M479" s="44"/>
    </row>
    <row r="480" ht="15.75" customHeight="1">
      <c r="A480" s="48"/>
      <c r="B480" s="44"/>
      <c r="C480" s="31" t="str">
        <f t="array" ref="C480">IF(B480="","",IFERROR(INDEX(Listas!$Q$5:$Q$20,MATCH(B480,Listas!$P$5:$P$20,0)),""))</f>
        <v/>
      </c>
      <c r="D480" s="44"/>
      <c r="E480" s="44"/>
      <c r="F480" s="44"/>
      <c r="G480" s="44"/>
      <c r="H480" s="44"/>
      <c r="I480" s="49"/>
      <c r="J480" s="47"/>
      <c r="K480" s="50"/>
      <c r="L480" s="43" t="str">
        <f t="shared" si="1"/>
        <v/>
      </c>
      <c r="M480" s="44"/>
    </row>
    <row r="481" ht="15.75" customHeight="1">
      <c r="A481" s="48"/>
      <c r="B481" s="44"/>
      <c r="C481" s="31" t="str">
        <f t="array" ref="C481">IF(B481="","",IFERROR(INDEX(Listas!$Q$5:$Q$20,MATCH(B481,Listas!$P$5:$P$20,0)),""))</f>
        <v/>
      </c>
      <c r="D481" s="44"/>
      <c r="E481" s="44"/>
      <c r="F481" s="44"/>
      <c r="G481" s="44"/>
      <c r="H481" s="44"/>
      <c r="I481" s="49"/>
      <c r="J481" s="47"/>
      <c r="K481" s="50"/>
      <c r="L481" s="43" t="str">
        <f t="shared" si="1"/>
        <v/>
      </c>
      <c r="M481" s="44"/>
    </row>
    <row r="482" ht="15.75" customHeight="1">
      <c r="A482" s="48"/>
      <c r="B482" s="44"/>
      <c r="C482" s="31" t="str">
        <f t="array" ref="C482">IF(B482="","",IFERROR(INDEX(Listas!$Q$5:$Q$20,MATCH(B482,Listas!$P$5:$P$20,0)),""))</f>
        <v/>
      </c>
      <c r="D482" s="44"/>
      <c r="E482" s="44"/>
      <c r="F482" s="44"/>
      <c r="G482" s="44"/>
      <c r="H482" s="44"/>
      <c r="I482" s="49"/>
      <c r="J482" s="47"/>
      <c r="K482" s="50"/>
      <c r="L482" s="43" t="str">
        <f t="shared" si="1"/>
        <v/>
      </c>
      <c r="M482" s="44"/>
    </row>
    <row r="483" ht="15.75" customHeight="1">
      <c r="A483" s="48"/>
      <c r="B483" s="44"/>
      <c r="C483" s="31" t="str">
        <f t="array" ref="C483">IF(B483="","",IFERROR(INDEX(Listas!$Q$5:$Q$20,MATCH(B483,Listas!$P$5:$P$20,0)),""))</f>
        <v/>
      </c>
      <c r="D483" s="44"/>
      <c r="E483" s="44"/>
      <c r="F483" s="44"/>
      <c r="G483" s="44"/>
      <c r="H483" s="44"/>
      <c r="I483" s="49"/>
      <c r="J483" s="47"/>
      <c r="K483" s="50"/>
      <c r="L483" s="43" t="str">
        <f t="shared" si="1"/>
        <v/>
      </c>
      <c r="M483" s="44"/>
    </row>
    <row r="484" ht="15.75" customHeight="1">
      <c r="A484" s="48"/>
      <c r="B484" s="44"/>
      <c r="C484" s="31" t="str">
        <f t="array" ref="C484">IF(B484="","",IFERROR(INDEX(Listas!$Q$5:$Q$20,MATCH(B484,Listas!$P$5:$P$20,0)),""))</f>
        <v/>
      </c>
      <c r="D484" s="44"/>
      <c r="E484" s="44"/>
      <c r="F484" s="44"/>
      <c r="G484" s="44"/>
      <c r="H484" s="44"/>
      <c r="I484" s="49"/>
      <c r="J484" s="47"/>
      <c r="K484" s="50"/>
      <c r="L484" s="43" t="str">
        <f t="shared" si="1"/>
        <v/>
      </c>
      <c r="M484" s="44"/>
    </row>
    <row r="485" ht="15.75" customHeight="1">
      <c r="A485" s="48"/>
      <c r="B485" s="44"/>
      <c r="C485" s="31" t="str">
        <f t="array" ref="C485">IF(B485="","",IFERROR(INDEX(Listas!$Q$5:$Q$20,MATCH(B485,Listas!$P$5:$P$20,0)),""))</f>
        <v/>
      </c>
      <c r="D485" s="44"/>
      <c r="E485" s="44"/>
      <c r="F485" s="44"/>
      <c r="G485" s="44"/>
      <c r="H485" s="44"/>
      <c r="I485" s="49"/>
      <c r="J485" s="47"/>
      <c r="K485" s="50"/>
      <c r="L485" s="43" t="str">
        <f t="shared" si="1"/>
        <v/>
      </c>
      <c r="M485" s="44"/>
    </row>
    <row r="486" ht="15.75" customHeight="1">
      <c r="A486" s="48"/>
      <c r="B486" s="44"/>
      <c r="C486" s="31" t="str">
        <f t="array" ref="C486">IF(B486="","",IFERROR(INDEX(Listas!$Q$5:$Q$20,MATCH(B486,Listas!$P$5:$P$20,0)),""))</f>
        <v/>
      </c>
      <c r="D486" s="44"/>
      <c r="E486" s="44"/>
      <c r="F486" s="44"/>
      <c r="G486" s="44"/>
      <c r="H486" s="44"/>
      <c r="I486" s="49"/>
      <c r="J486" s="47"/>
      <c r="K486" s="50"/>
      <c r="L486" s="43" t="str">
        <f t="shared" si="1"/>
        <v/>
      </c>
      <c r="M486" s="44"/>
    </row>
    <row r="487" ht="15.75" customHeight="1">
      <c r="A487" s="48"/>
      <c r="B487" s="44"/>
      <c r="C487" s="31" t="str">
        <f t="array" ref="C487">IF(B487="","",IFERROR(INDEX(Listas!$Q$5:$Q$20,MATCH(B487,Listas!$P$5:$P$20,0)),""))</f>
        <v/>
      </c>
      <c r="D487" s="44"/>
      <c r="E487" s="44"/>
      <c r="F487" s="44"/>
      <c r="G487" s="44"/>
      <c r="H487" s="44"/>
      <c r="I487" s="49"/>
      <c r="J487" s="47"/>
      <c r="K487" s="50"/>
      <c r="L487" s="43" t="str">
        <f t="shared" si="1"/>
        <v/>
      </c>
      <c r="M487" s="44"/>
    </row>
    <row r="488" ht="15.75" customHeight="1">
      <c r="A488" s="48"/>
      <c r="B488" s="44"/>
      <c r="C488" s="31" t="str">
        <f t="array" ref="C488">IF(B488="","",IFERROR(INDEX(Listas!$Q$5:$Q$20,MATCH(B488,Listas!$P$5:$P$20,0)),""))</f>
        <v/>
      </c>
      <c r="D488" s="44"/>
      <c r="E488" s="44"/>
      <c r="F488" s="44"/>
      <c r="G488" s="44"/>
      <c r="H488" s="44"/>
      <c r="I488" s="49"/>
      <c r="J488" s="47"/>
      <c r="K488" s="50"/>
      <c r="L488" s="43" t="str">
        <f t="shared" si="1"/>
        <v/>
      </c>
      <c r="M488" s="44"/>
    </row>
    <row r="489" ht="15.75" customHeight="1">
      <c r="A489" s="48"/>
      <c r="B489" s="44"/>
      <c r="C489" s="31" t="str">
        <f t="array" ref="C489">IF(B489="","",IFERROR(INDEX(Listas!$Q$5:$Q$20,MATCH(B489,Listas!$P$5:$P$20,0)),""))</f>
        <v/>
      </c>
      <c r="D489" s="44"/>
      <c r="E489" s="44"/>
      <c r="F489" s="44"/>
      <c r="G489" s="44"/>
      <c r="H489" s="44"/>
      <c r="I489" s="49"/>
      <c r="J489" s="47"/>
      <c r="K489" s="50"/>
      <c r="L489" s="43" t="str">
        <f t="shared" si="1"/>
        <v/>
      </c>
      <c r="M489" s="44"/>
    </row>
    <row r="490" ht="15.75" customHeight="1">
      <c r="A490" s="48"/>
      <c r="B490" s="44"/>
      <c r="C490" s="31" t="str">
        <f t="array" ref="C490">IF(B490="","",IFERROR(INDEX(Listas!$Q$5:$Q$20,MATCH(B490,Listas!$P$5:$P$20,0)),""))</f>
        <v/>
      </c>
      <c r="D490" s="44"/>
      <c r="E490" s="44"/>
      <c r="F490" s="44"/>
      <c r="G490" s="44"/>
      <c r="H490" s="44"/>
      <c r="I490" s="49"/>
      <c r="J490" s="47"/>
      <c r="K490" s="50"/>
      <c r="L490" s="43" t="str">
        <f t="shared" si="1"/>
        <v/>
      </c>
      <c r="M490" s="44"/>
    </row>
    <row r="491" ht="15.75" customHeight="1">
      <c r="A491" s="48"/>
      <c r="B491" s="44"/>
      <c r="C491" s="31" t="str">
        <f t="array" ref="C491">IF(B491="","",IFERROR(INDEX(Listas!$Q$5:$Q$20,MATCH(B491,Listas!$P$5:$P$20,0)),""))</f>
        <v/>
      </c>
      <c r="D491" s="44"/>
      <c r="E491" s="44"/>
      <c r="F491" s="44"/>
      <c r="G491" s="44"/>
      <c r="H491" s="44"/>
      <c r="I491" s="49"/>
      <c r="J491" s="47"/>
      <c r="K491" s="50"/>
      <c r="L491" s="43" t="str">
        <f t="shared" si="1"/>
        <v/>
      </c>
      <c r="M491" s="44"/>
    </row>
    <row r="492" ht="15.75" customHeight="1">
      <c r="A492" s="48"/>
      <c r="B492" s="44"/>
      <c r="C492" s="31" t="str">
        <f t="array" ref="C492">IF(B492="","",IFERROR(INDEX(Listas!$Q$5:$Q$20,MATCH(B492,Listas!$P$5:$P$20,0)),""))</f>
        <v/>
      </c>
      <c r="D492" s="44"/>
      <c r="E492" s="44"/>
      <c r="F492" s="44"/>
      <c r="G492" s="44"/>
      <c r="H492" s="44"/>
      <c r="I492" s="49"/>
      <c r="J492" s="47"/>
      <c r="K492" s="50"/>
      <c r="L492" s="43" t="str">
        <f t="shared" si="1"/>
        <v/>
      </c>
      <c r="M492" s="44"/>
    </row>
    <row r="493" ht="15.75" customHeight="1">
      <c r="A493" s="48"/>
      <c r="B493" s="44"/>
      <c r="C493" s="31" t="str">
        <f t="array" ref="C493">IF(B493="","",IFERROR(INDEX(Listas!$Q$5:$Q$20,MATCH(B493,Listas!$P$5:$P$20,0)),""))</f>
        <v/>
      </c>
      <c r="D493" s="44"/>
      <c r="E493" s="44"/>
      <c r="F493" s="44"/>
      <c r="G493" s="44"/>
      <c r="H493" s="44"/>
      <c r="I493" s="49"/>
      <c r="J493" s="47"/>
      <c r="K493" s="50"/>
      <c r="L493" s="43" t="str">
        <f t="shared" si="1"/>
        <v/>
      </c>
      <c r="M493" s="44"/>
    </row>
    <row r="494" ht="15.75" customHeight="1">
      <c r="A494" s="48"/>
      <c r="B494" s="44"/>
      <c r="C494" s="31" t="str">
        <f t="array" ref="C494">IF(B494="","",IFERROR(INDEX(Listas!$Q$5:$Q$20,MATCH(B494,Listas!$P$5:$P$20,0)),""))</f>
        <v/>
      </c>
      <c r="D494" s="44"/>
      <c r="E494" s="44"/>
      <c r="F494" s="44"/>
      <c r="G494" s="44"/>
      <c r="H494" s="44"/>
      <c r="I494" s="49"/>
      <c r="J494" s="47"/>
      <c r="K494" s="50"/>
      <c r="L494" s="43" t="str">
        <f t="shared" si="1"/>
        <v/>
      </c>
      <c r="M494" s="44"/>
    </row>
    <row r="495" ht="15.75" customHeight="1">
      <c r="A495" s="48"/>
      <c r="B495" s="44"/>
      <c r="C495" s="31" t="str">
        <f t="array" ref="C495">IF(B495="","",IFERROR(INDEX(Listas!$Q$5:$Q$20,MATCH(B495,Listas!$P$5:$P$20,0)),""))</f>
        <v/>
      </c>
      <c r="D495" s="44"/>
      <c r="E495" s="44"/>
      <c r="F495" s="44"/>
      <c r="G495" s="44"/>
      <c r="H495" s="44"/>
      <c r="I495" s="49"/>
      <c r="J495" s="47"/>
      <c r="K495" s="50"/>
      <c r="L495" s="43" t="str">
        <f t="shared" si="1"/>
        <v/>
      </c>
      <c r="M495" s="44"/>
    </row>
    <row r="496" ht="15.75" customHeight="1">
      <c r="A496" s="48"/>
      <c r="B496" s="44"/>
      <c r="C496" s="31" t="str">
        <f t="array" ref="C496">IF(B496="","",IFERROR(INDEX(Listas!$Q$5:$Q$20,MATCH(B496,Listas!$P$5:$P$20,0)),""))</f>
        <v/>
      </c>
      <c r="D496" s="44"/>
      <c r="E496" s="44"/>
      <c r="F496" s="44"/>
      <c r="G496" s="44"/>
      <c r="H496" s="44"/>
      <c r="I496" s="49"/>
      <c r="J496" s="47"/>
      <c r="K496" s="50"/>
      <c r="L496" s="43" t="str">
        <f t="shared" si="1"/>
        <v/>
      </c>
      <c r="M496" s="44"/>
    </row>
    <row r="497" ht="15.75" customHeight="1">
      <c r="A497" s="48"/>
      <c r="B497" s="44"/>
      <c r="C497" s="31" t="str">
        <f t="array" ref="C497">IF(B497="","",IFERROR(INDEX(Listas!$Q$5:$Q$20,MATCH(B497,Listas!$P$5:$P$20,0)),""))</f>
        <v/>
      </c>
      <c r="D497" s="44"/>
      <c r="E497" s="44"/>
      <c r="F497" s="44"/>
      <c r="G497" s="44"/>
      <c r="H497" s="44"/>
      <c r="I497" s="49"/>
      <c r="J497" s="47"/>
      <c r="K497" s="50"/>
      <c r="L497" s="43" t="str">
        <f t="shared" si="1"/>
        <v/>
      </c>
      <c r="M497" s="44"/>
    </row>
    <row r="498" ht="15.75" customHeight="1">
      <c r="A498" s="48"/>
      <c r="B498" s="44"/>
      <c r="C498" s="31" t="str">
        <f t="array" ref="C498">IF(B498="","",IFERROR(INDEX(Listas!$Q$5:$Q$20,MATCH(B498,Listas!$P$5:$P$20,0)),""))</f>
        <v/>
      </c>
      <c r="D498" s="44"/>
      <c r="E498" s="44"/>
      <c r="F498" s="44"/>
      <c r="G498" s="44"/>
      <c r="H498" s="44"/>
      <c r="I498" s="49"/>
      <c r="J498" s="47"/>
      <c r="K498" s="50"/>
      <c r="L498" s="43" t="str">
        <f t="shared" si="1"/>
        <v/>
      </c>
      <c r="M498" s="44"/>
    </row>
    <row r="499" ht="15.75" customHeight="1">
      <c r="A499" s="48"/>
      <c r="B499" s="44"/>
      <c r="C499" s="31" t="str">
        <f t="array" ref="C499">IF(B499="","",IFERROR(INDEX(Listas!$Q$5:$Q$20,MATCH(B499,Listas!$P$5:$P$20,0)),""))</f>
        <v/>
      </c>
      <c r="D499" s="44"/>
      <c r="E499" s="44"/>
      <c r="F499" s="44"/>
      <c r="G499" s="44"/>
      <c r="H499" s="44"/>
      <c r="I499" s="49"/>
      <c r="J499" s="47"/>
      <c r="K499" s="50"/>
      <c r="L499" s="43" t="str">
        <f t="shared" si="1"/>
        <v/>
      </c>
      <c r="M499" s="44"/>
    </row>
    <row r="500" ht="15.75" customHeight="1">
      <c r="A500" s="48"/>
      <c r="B500" s="44"/>
      <c r="C500" s="31" t="str">
        <f t="array" ref="C500">IF(B500="","",IFERROR(INDEX(Listas!$Q$5:$Q$20,MATCH(B500,Listas!$P$5:$P$20,0)),""))</f>
        <v/>
      </c>
      <c r="D500" s="44"/>
      <c r="E500" s="44"/>
      <c r="F500" s="44"/>
      <c r="G500" s="44"/>
      <c r="H500" s="44"/>
      <c r="I500" s="49"/>
      <c r="J500" s="47"/>
      <c r="K500" s="50"/>
      <c r="L500" s="43" t="str">
        <f t="shared" si="1"/>
        <v/>
      </c>
      <c r="M500" s="44"/>
    </row>
    <row r="501" ht="15.75" customHeight="1">
      <c r="A501" s="48"/>
      <c r="B501" s="44"/>
      <c r="C501" s="31" t="str">
        <f t="array" ref="C501">IF(B501="","",IFERROR(INDEX(Listas!$Q$5:$Q$20,MATCH(B501,Listas!$P$5:$P$20,0)),""))</f>
        <v/>
      </c>
      <c r="D501" s="44"/>
      <c r="E501" s="44"/>
      <c r="F501" s="44"/>
      <c r="G501" s="44"/>
      <c r="H501" s="44"/>
      <c r="I501" s="49"/>
      <c r="J501" s="47"/>
      <c r="K501" s="50"/>
      <c r="L501" s="43" t="str">
        <f t="shared" si="1"/>
        <v/>
      </c>
      <c r="M501" s="44"/>
    </row>
    <row r="502" ht="15.75" customHeight="1">
      <c r="A502" s="48"/>
      <c r="B502" s="44"/>
      <c r="C502" s="31" t="str">
        <f t="array" ref="C502">IF(B502="","",IFERROR(INDEX(Listas!$Q$5:$Q$20,MATCH(B502,Listas!$P$5:$P$20,0)),""))</f>
        <v/>
      </c>
      <c r="D502" s="44"/>
      <c r="E502" s="44"/>
      <c r="F502" s="44"/>
      <c r="G502" s="44"/>
      <c r="H502" s="44"/>
      <c r="I502" s="49"/>
      <c r="J502" s="47"/>
      <c r="K502" s="50"/>
      <c r="L502" s="43" t="str">
        <f t="shared" si="1"/>
        <v/>
      </c>
      <c r="M502" s="44"/>
    </row>
    <row r="503" ht="15.75" customHeight="1">
      <c r="A503" s="48"/>
      <c r="B503" s="44"/>
      <c r="C503" s="31" t="str">
        <f t="array" ref="C503">IF(B503="","",IFERROR(INDEX(Listas!$Q$5:$Q$20,MATCH(B503,Listas!$P$5:$P$20,0)),""))</f>
        <v/>
      </c>
      <c r="D503" s="44"/>
      <c r="E503" s="44"/>
      <c r="F503" s="44"/>
      <c r="G503" s="44"/>
      <c r="H503" s="44"/>
      <c r="I503" s="49"/>
      <c r="J503" s="47"/>
      <c r="K503" s="50"/>
      <c r="L503" s="43" t="str">
        <f t="shared" si="1"/>
        <v/>
      </c>
      <c r="M503" s="44"/>
    </row>
    <row r="504" ht="15.75" customHeight="1">
      <c r="A504" s="48"/>
      <c r="B504" s="44"/>
      <c r="C504" s="31" t="str">
        <f t="array" ref="C504">IF(B504="","",IFERROR(INDEX(Listas!$Q$5:$Q$20,MATCH(B504,Listas!$P$5:$P$20,0)),""))</f>
        <v/>
      </c>
      <c r="D504" s="44"/>
      <c r="E504" s="44"/>
      <c r="F504" s="44"/>
      <c r="G504" s="44"/>
      <c r="H504" s="44"/>
      <c r="I504" s="49"/>
      <c r="J504" s="47"/>
      <c r="K504" s="50"/>
      <c r="L504" s="43" t="str">
        <f t="shared" si="1"/>
        <v/>
      </c>
      <c r="M504" s="44"/>
    </row>
    <row r="505" ht="15.75" customHeight="1">
      <c r="A505" s="48"/>
      <c r="B505" s="44"/>
      <c r="C505" s="31" t="str">
        <f t="array" ref="C505">IF(B505="","",IFERROR(INDEX(Listas!$Q$5:$Q$20,MATCH(B505,Listas!$P$5:$P$20,0)),""))</f>
        <v/>
      </c>
      <c r="D505" s="44"/>
      <c r="E505" s="44"/>
      <c r="F505" s="44"/>
      <c r="G505" s="44"/>
      <c r="H505" s="44"/>
      <c r="I505" s="49"/>
      <c r="J505" s="47"/>
      <c r="K505" s="50"/>
      <c r="L505" s="43" t="str">
        <f t="shared" si="1"/>
        <v/>
      </c>
      <c r="M505" s="44"/>
    </row>
    <row r="506" ht="15.75" customHeight="1">
      <c r="A506" s="48"/>
      <c r="B506" s="44"/>
      <c r="C506" s="31" t="str">
        <f t="array" ref="C506">IF(B506="","",IFERROR(INDEX(Listas!$Q$5:$Q$20,MATCH(B506,Listas!$P$5:$P$20,0)),""))</f>
        <v/>
      </c>
      <c r="D506" s="44"/>
      <c r="E506" s="44"/>
      <c r="F506" s="44"/>
      <c r="G506" s="44"/>
      <c r="H506" s="44"/>
      <c r="I506" s="49"/>
      <c r="J506" s="47"/>
      <c r="K506" s="50"/>
      <c r="L506" s="43" t="str">
        <f t="shared" si="1"/>
        <v/>
      </c>
      <c r="M506" s="44"/>
    </row>
    <row r="507" ht="15.75" customHeight="1">
      <c r="A507" s="48"/>
      <c r="B507" s="44"/>
      <c r="C507" s="31" t="str">
        <f t="array" ref="C507">IF(B507="","",IFERROR(INDEX(Listas!$Q$5:$Q$20,MATCH(B507,Listas!$P$5:$P$20,0)),""))</f>
        <v/>
      </c>
      <c r="D507" s="44"/>
      <c r="E507" s="44"/>
      <c r="F507" s="44"/>
      <c r="G507" s="44"/>
      <c r="H507" s="44"/>
      <c r="I507" s="49"/>
      <c r="J507" s="47"/>
      <c r="K507" s="50"/>
      <c r="L507" s="43" t="str">
        <f t="shared" si="1"/>
        <v/>
      </c>
      <c r="M507" s="44"/>
    </row>
    <row r="508" ht="15.75" customHeight="1">
      <c r="A508" s="48"/>
      <c r="B508" s="44"/>
      <c r="C508" s="31" t="str">
        <f t="array" ref="C508">IF(B508="","",IFERROR(INDEX(Listas!$Q$5:$Q$20,MATCH(B508,Listas!$P$5:$P$20,0)),""))</f>
        <v/>
      </c>
      <c r="D508" s="44"/>
      <c r="E508" s="44"/>
      <c r="F508" s="44"/>
      <c r="G508" s="44"/>
      <c r="H508" s="44"/>
      <c r="I508" s="49"/>
      <c r="J508" s="47"/>
      <c r="K508" s="50"/>
      <c r="L508" s="43" t="str">
        <f t="shared" si="1"/>
        <v/>
      </c>
      <c r="M508" s="44"/>
    </row>
    <row r="509" ht="15.75" customHeight="1">
      <c r="A509" s="48"/>
      <c r="B509" s="44"/>
      <c r="C509" s="31" t="str">
        <f t="array" ref="C509">IF(B509="","",IFERROR(INDEX(Listas!$Q$5:$Q$20,MATCH(B509,Listas!$P$5:$P$20,0)),""))</f>
        <v/>
      </c>
      <c r="D509" s="44"/>
      <c r="E509" s="44"/>
      <c r="F509" s="44"/>
      <c r="G509" s="44"/>
      <c r="H509" s="44"/>
      <c r="I509" s="49"/>
      <c r="J509" s="47"/>
      <c r="K509" s="50"/>
      <c r="L509" s="43" t="str">
        <f t="shared" si="1"/>
        <v/>
      </c>
      <c r="M509" s="44"/>
    </row>
    <row r="510" ht="15.75" customHeight="1">
      <c r="A510" s="48"/>
      <c r="B510" s="44"/>
      <c r="C510" s="31" t="str">
        <f t="array" ref="C510">IF(B510="","",IFERROR(INDEX(Listas!$Q$5:$Q$20,MATCH(B510,Listas!$P$5:$P$20,0)),""))</f>
        <v/>
      </c>
      <c r="D510" s="44"/>
      <c r="E510" s="44"/>
      <c r="F510" s="44"/>
      <c r="G510" s="44"/>
      <c r="H510" s="44"/>
      <c r="I510" s="49"/>
      <c r="J510" s="47"/>
      <c r="K510" s="50"/>
      <c r="L510" s="43" t="str">
        <f t="shared" si="1"/>
        <v/>
      </c>
      <c r="M510" s="44"/>
    </row>
    <row r="511" ht="15.75" customHeight="1">
      <c r="A511" s="48"/>
      <c r="B511" s="44"/>
      <c r="C511" s="31" t="str">
        <f t="array" ref="C511">IF(B511="","",IFERROR(INDEX(Listas!$Q$5:$Q$20,MATCH(B511,Listas!$P$5:$P$20,0)),""))</f>
        <v/>
      </c>
      <c r="D511" s="44"/>
      <c r="E511" s="44"/>
      <c r="F511" s="44"/>
      <c r="G511" s="44"/>
      <c r="H511" s="44"/>
      <c r="I511" s="49"/>
      <c r="J511" s="47"/>
      <c r="K511" s="50"/>
      <c r="L511" s="43" t="str">
        <f t="shared" si="1"/>
        <v/>
      </c>
      <c r="M511" s="44"/>
    </row>
    <row r="512" ht="15.75" customHeight="1">
      <c r="A512" s="48"/>
      <c r="B512" s="44"/>
      <c r="C512" s="31" t="str">
        <f t="array" ref="C512">IF(B512="","",IFERROR(INDEX(Listas!$Q$5:$Q$20,MATCH(B512,Listas!$P$5:$P$20,0)),""))</f>
        <v/>
      </c>
      <c r="D512" s="44"/>
      <c r="E512" s="44"/>
      <c r="F512" s="44"/>
      <c r="G512" s="44"/>
      <c r="H512" s="44"/>
      <c r="I512" s="49"/>
      <c r="J512" s="47"/>
      <c r="K512" s="50"/>
      <c r="L512" s="43" t="str">
        <f t="shared" si="1"/>
        <v/>
      </c>
      <c r="M512" s="44"/>
    </row>
    <row r="513" ht="15.75" customHeight="1">
      <c r="A513" s="48"/>
      <c r="B513" s="44"/>
      <c r="C513" s="31" t="str">
        <f t="array" ref="C513">IF(B513="","",IFERROR(INDEX(Listas!$Q$5:$Q$20,MATCH(B513,Listas!$P$5:$P$20,0)),""))</f>
        <v/>
      </c>
      <c r="D513" s="44"/>
      <c r="E513" s="44"/>
      <c r="F513" s="44"/>
      <c r="G513" s="44"/>
      <c r="H513" s="44"/>
      <c r="I513" s="49"/>
      <c r="J513" s="47"/>
      <c r="K513" s="50"/>
      <c r="L513" s="43" t="str">
        <f t="shared" si="1"/>
        <v/>
      </c>
      <c r="M513" s="44"/>
    </row>
    <row r="514" ht="15.75" customHeight="1">
      <c r="A514" s="48"/>
      <c r="B514" s="44"/>
      <c r="C514" s="31" t="str">
        <f t="array" ref="C514">IF(B514="","",IFERROR(INDEX(Listas!$Q$5:$Q$20,MATCH(B514,Listas!$P$5:$P$20,0)),""))</f>
        <v/>
      </c>
      <c r="D514" s="44"/>
      <c r="E514" s="44"/>
      <c r="F514" s="44"/>
      <c r="G514" s="44"/>
      <c r="H514" s="44"/>
      <c r="I514" s="49"/>
      <c r="J514" s="47"/>
      <c r="K514" s="50"/>
      <c r="L514" s="43" t="str">
        <f t="shared" si="1"/>
        <v/>
      </c>
      <c r="M514" s="44"/>
    </row>
    <row r="515" ht="15.75" customHeight="1">
      <c r="A515" s="48"/>
      <c r="B515" s="44"/>
      <c r="C515" s="31" t="str">
        <f t="array" ref="C515">IF(B515="","",IFERROR(INDEX(Listas!$Q$5:$Q$20,MATCH(B515,Listas!$P$5:$P$20,0)),""))</f>
        <v/>
      </c>
      <c r="D515" s="44"/>
      <c r="E515" s="44"/>
      <c r="F515" s="44"/>
      <c r="G515" s="44"/>
      <c r="H515" s="44"/>
      <c r="I515" s="49"/>
      <c r="J515" s="47"/>
      <c r="K515" s="50"/>
      <c r="L515" s="43" t="str">
        <f t="shared" si="1"/>
        <v/>
      </c>
      <c r="M515" s="44"/>
    </row>
    <row r="516" ht="15.75" customHeight="1">
      <c r="A516" s="48"/>
      <c r="B516" s="44"/>
      <c r="C516" s="31" t="str">
        <f t="array" ref="C516">IF(B516="","",IFERROR(INDEX(Listas!$Q$5:$Q$20,MATCH(B516,Listas!$P$5:$P$20,0)),""))</f>
        <v/>
      </c>
      <c r="D516" s="44"/>
      <c r="E516" s="44"/>
      <c r="F516" s="44"/>
      <c r="G516" s="44"/>
      <c r="H516" s="44"/>
      <c r="I516" s="49"/>
      <c r="J516" s="47"/>
      <c r="K516" s="50"/>
      <c r="L516" s="43" t="str">
        <f t="shared" si="1"/>
        <v/>
      </c>
      <c r="M516" s="44"/>
    </row>
    <row r="517" ht="15.75" customHeight="1">
      <c r="A517" s="48"/>
      <c r="B517" s="44"/>
      <c r="C517" s="31" t="str">
        <f t="array" ref="C517">IF(B517="","",IFERROR(INDEX(Listas!$Q$5:$Q$20,MATCH(B517,Listas!$P$5:$P$20,0)),""))</f>
        <v/>
      </c>
      <c r="D517" s="44"/>
      <c r="E517" s="44"/>
      <c r="F517" s="44"/>
      <c r="G517" s="44"/>
      <c r="H517" s="44"/>
      <c r="I517" s="49"/>
      <c r="J517" s="47"/>
      <c r="K517" s="50"/>
      <c r="L517" s="43" t="str">
        <f t="shared" si="1"/>
        <v/>
      </c>
      <c r="M517" s="44"/>
    </row>
    <row r="518" ht="15.75" customHeight="1">
      <c r="A518" s="48"/>
      <c r="B518" s="44"/>
      <c r="C518" s="31" t="str">
        <f t="array" ref="C518">IF(B518="","",IFERROR(INDEX(Listas!$Q$5:$Q$20,MATCH(B518,Listas!$P$5:$P$20,0)),""))</f>
        <v/>
      </c>
      <c r="D518" s="44"/>
      <c r="E518" s="44"/>
      <c r="F518" s="44"/>
      <c r="G518" s="44"/>
      <c r="H518" s="44"/>
      <c r="I518" s="49"/>
      <c r="J518" s="47"/>
      <c r="K518" s="50"/>
      <c r="L518" s="43" t="str">
        <f t="shared" si="1"/>
        <v/>
      </c>
      <c r="M518" s="44"/>
    </row>
    <row r="519" ht="15.75" customHeight="1">
      <c r="A519" s="48"/>
      <c r="B519" s="44"/>
      <c r="C519" s="31" t="str">
        <f t="array" ref="C519">IF(B519="","",IFERROR(INDEX(Listas!$Q$5:$Q$20,MATCH(B519,Listas!$P$5:$P$20,0)),""))</f>
        <v/>
      </c>
      <c r="D519" s="44"/>
      <c r="E519" s="44"/>
      <c r="F519" s="44"/>
      <c r="G519" s="44"/>
      <c r="H519" s="44"/>
      <c r="I519" s="49"/>
      <c r="J519" s="47"/>
      <c r="K519" s="50"/>
      <c r="L519" s="43" t="str">
        <f t="shared" si="1"/>
        <v/>
      </c>
      <c r="M519" s="44"/>
    </row>
    <row r="520" ht="15.75" customHeight="1">
      <c r="A520" s="48"/>
      <c r="B520" s="44"/>
      <c r="C520" s="31" t="str">
        <f t="array" ref="C520">IF(B520="","",IFERROR(INDEX(Listas!$Q$5:$Q$20,MATCH(B520,Listas!$P$5:$P$20,0)),""))</f>
        <v/>
      </c>
      <c r="D520" s="44"/>
      <c r="E520" s="44"/>
      <c r="F520" s="44"/>
      <c r="G520" s="44"/>
      <c r="H520" s="44"/>
      <c r="I520" s="49"/>
      <c r="J520" s="47"/>
      <c r="K520" s="50"/>
      <c r="L520" s="43" t="str">
        <f t="shared" si="1"/>
        <v/>
      </c>
      <c r="M520" s="44"/>
    </row>
    <row r="521" ht="15.75" customHeight="1">
      <c r="A521" s="48"/>
      <c r="B521" s="44"/>
      <c r="C521" s="31" t="str">
        <f t="array" ref="C521">IF(B521="","",IFERROR(INDEX(Listas!$Q$5:$Q$20,MATCH(B521,Listas!$P$5:$P$20,0)),""))</f>
        <v/>
      </c>
      <c r="D521" s="44"/>
      <c r="E521" s="44"/>
      <c r="F521" s="44"/>
      <c r="G521" s="44"/>
      <c r="H521" s="44"/>
      <c r="I521" s="49"/>
      <c r="J521" s="47"/>
      <c r="K521" s="50"/>
      <c r="L521" s="43" t="str">
        <f t="shared" si="1"/>
        <v/>
      </c>
      <c r="M521" s="44"/>
    </row>
    <row r="522" ht="15.75" customHeight="1">
      <c r="A522" s="48"/>
      <c r="B522" s="44"/>
      <c r="C522" s="31" t="str">
        <f t="array" ref="C522">IF(B522="","",IFERROR(INDEX(Listas!$Q$5:$Q$20,MATCH(B522,Listas!$P$5:$P$20,0)),""))</f>
        <v/>
      </c>
      <c r="D522" s="44"/>
      <c r="E522" s="44"/>
      <c r="F522" s="44"/>
      <c r="G522" s="44"/>
      <c r="H522" s="44"/>
      <c r="I522" s="49"/>
      <c r="J522" s="47"/>
      <c r="K522" s="50"/>
      <c r="L522" s="43" t="str">
        <f t="shared" si="1"/>
        <v/>
      </c>
      <c r="M522" s="44"/>
    </row>
    <row r="523" ht="15.75" customHeight="1">
      <c r="A523" s="48"/>
      <c r="B523" s="44"/>
      <c r="C523" s="31" t="str">
        <f t="array" ref="C523">IF(B523="","",IFERROR(INDEX(Listas!$Q$5:$Q$20,MATCH(B523,Listas!$P$5:$P$20,0)),""))</f>
        <v/>
      </c>
      <c r="D523" s="44"/>
      <c r="E523" s="44"/>
      <c r="F523" s="44"/>
      <c r="G523" s="44"/>
      <c r="H523" s="44"/>
      <c r="I523" s="49"/>
      <c r="J523" s="47"/>
      <c r="K523" s="50"/>
      <c r="L523" s="43" t="str">
        <f t="shared" si="1"/>
        <v/>
      </c>
      <c r="M523" s="44"/>
    </row>
    <row r="524" ht="15.75" customHeight="1">
      <c r="A524" s="48"/>
      <c r="B524" s="44"/>
      <c r="C524" s="31" t="str">
        <f t="array" ref="C524">IF(B524="","",IFERROR(INDEX(Listas!$Q$5:$Q$20,MATCH(B524,Listas!$P$5:$P$20,0)),""))</f>
        <v/>
      </c>
      <c r="D524" s="44"/>
      <c r="E524" s="44"/>
      <c r="F524" s="44"/>
      <c r="G524" s="44"/>
      <c r="H524" s="44"/>
      <c r="I524" s="49"/>
      <c r="J524" s="47"/>
      <c r="K524" s="50"/>
      <c r="L524" s="43" t="str">
        <f t="shared" si="1"/>
        <v/>
      </c>
      <c r="M524" s="44"/>
    </row>
    <row r="525" ht="15.75" customHeight="1">
      <c r="A525" s="48"/>
      <c r="B525" s="44"/>
      <c r="C525" s="31" t="str">
        <f t="array" ref="C525">IF(B525="","",IFERROR(INDEX(Listas!$Q$5:$Q$20,MATCH(B525,Listas!$P$5:$P$20,0)),""))</f>
        <v/>
      </c>
      <c r="D525" s="44"/>
      <c r="E525" s="44"/>
      <c r="F525" s="44"/>
      <c r="G525" s="44"/>
      <c r="H525" s="44"/>
      <c r="I525" s="49"/>
      <c r="J525" s="47"/>
      <c r="K525" s="50"/>
      <c r="L525" s="43" t="str">
        <f t="shared" si="1"/>
        <v/>
      </c>
      <c r="M525" s="44"/>
    </row>
    <row r="526" ht="15.75" customHeight="1">
      <c r="A526" s="48"/>
      <c r="B526" s="44"/>
      <c r="C526" s="31" t="str">
        <f t="array" ref="C526">IF(B526="","",IFERROR(INDEX(Listas!$Q$5:$Q$20,MATCH(B526,Listas!$P$5:$P$20,0)),""))</f>
        <v/>
      </c>
      <c r="D526" s="44"/>
      <c r="E526" s="44"/>
      <c r="F526" s="44"/>
      <c r="G526" s="44"/>
      <c r="H526" s="44"/>
      <c r="I526" s="49"/>
      <c r="J526" s="47"/>
      <c r="K526" s="50"/>
      <c r="L526" s="43" t="str">
        <f t="shared" si="1"/>
        <v/>
      </c>
      <c r="M526" s="44"/>
    </row>
    <row r="527" ht="15.75" customHeight="1">
      <c r="A527" s="48"/>
      <c r="B527" s="44"/>
      <c r="C527" s="31" t="str">
        <f t="array" ref="C527">IF(B527="","",IFERROR(INDEX(Listas!$Q$5:$Q$20,MATCH(B527,Listas!$P$5:$P$20,0)),""))</f>
        <v/>
      </c>
      <c r="D527" s="44"/>
      <c r="E527" s="44"/>
      <c r="F527" s="44"/>
      <c r="G527" s="44"/>
      <c r="H527" s="44"/>
      <c r="I527" s="49"/>
      <c r="J527" s="47"/>
      <c r="K527" s="50"/>
      <c r="L527" s="43" t="str">
        <f t="shared" si="1"/>
        <v/>
      </c>
      <c r="M527" s="44"/>
    </row>
    <row r="528" ht="15.75" customHeight="1">
      <c r="A528" s="48"/>
      <c r="B528" s="44"/>
      <c r="C528" s="31" t="str">
        <f t="array" ref="C528">IF(B528="","",IFERROR(INDEX(Listas!$Q$5:$Q$20,MATCH(B528,Listas!$P$5:$P$20,0)),""))</f>
        <v/>
      </c>
      <c r="D528" s="44"/>
      <c r="E528" s="44"/>
      <c r="F528" s="44"/>
      <c r="G528" s="44"/>
      <c r="H528" s="44"/>
      <c r="I528" s="49"/>
      <c r="J528" s="47"/>
      <c r="K528" s="50"/>
      <c r="L528" s="43" t="str">
        <f t="shared" si="1"/>
        <v/>
      </c>
      <c r="M528" s="44"/>
    </row>
    <row r="529" ht="15.75" customHeight="1">
      <c r="A529" s="48"/>
      <c r="B529" s="44"/>
      <c r="C529" s="31" t="str">
        <f t="array" ref="C529">IF(B529="","",IFERROR(INDEX(Listas!$Q$5:$Q$20,MATCH(B529,Listas!$P$5:$P$20,0)),""))</f>
        <v/>
      </c>
      <c r="D529" s="44"/>
      <c r="E529" s="44"/>
      <c r="F529" s="44"/>
      <c r="G529" s="44"/>
      <c r="H529" s="44"/>
      <c r="I529" s="49"/>
      <c r="J529" s="47"/>
      <c r="K529" s="50"/>
      <c r="L529" s="43" t="str">
        <f t="shared" si="1"/>
        <v/>
      </c>
      <c r="M529" s="44"/>
    </row>
    <row r="530" ht="15.75" customHeight="1">
      <c r="A530" s="48"/>
      <c r="B530" s="44"/>
      <c r="C530" s="31" t="str">
        <f t="array" ref="C530">IF(B530="","",IFERROR(INDEX(Listas!$Q$5:$Q$20,MATCH(B530,Listas!$P$5:$P$20,0)),""))</f>
        <v/>
      </c>
      <c r="D530" s="44"/>
      <c r="E530" s="44"/>
      <c r="F530" s="44"/>
      <c r="G530" s="44"/>
      <c r="H530" s="44"/>
      <c r="I530" s="49"/>
      <c r="J530" s="47"/>
      <c r="K530" s="50"/>
      <c r="L530" s="43" t="str">
        <f t="shared" si="1"/>
        <v/>
      </c>
      <c r="M530" s="44"/>
    </row>
    <row r="531" ht="15.75" customHeight="1">
      <c r="A531" s="48"/>
      <c r="B531" s="44"/>
      <c r="C531" s="31" t="str">
        <f t="array" ref="C531">IF(B531="","",IFERROR(INDEX(Listas!$Q$5:$Q$20,MATCH(B531,Listas!$P$5:$P$20,0)),""))</f>
        <v/>
      </c>
      <c r="D531" s="44"/>
      <c r="E531" s="44"/>
      <c r="F531" s="44"/>
      <c r="G531" s="44"/>
      <c r="H531" s="44"/>
      <c r="I531" s="49"/>
      <c r="J531" s="47"/>
      <c r="K531" s="50"/>
      <c r="L531" s="43" t="str">
        <f t="shared" si="1"/>
        <v/>
      </c>
      <c r="M531" s="44"/>
    </row>
    <row r="532" ht="15.75" customHeight="1">
      <c r="A532" s="48"/>
      <c r="B532" s="44"/>
      <c r="C532" s="31" t="str">
        <f t="array" ref="C532">IF(B532="","",IFERROR(INDEX(Listas!$Q$5:$Q$20,MATCH(B532,Listas!$P$5:$P$20,0)),""))</f>
        <v/>
      </c>
      <c r="D532" s="44"/>
      <c r="E532" s="44"/>
      <c r="F532" s="44"/>
      <c r="G532" s="44"/>
      <c r="H532" s="44"/>
      <c r="I532" s="49"/>
      <c r="J532" s="47"/>
      <c r="K532" s="50"/>
      <c r="L532" s="43" t="str">
        <f t="shared" si="1"/>
        <v/>
      </c>
      <c r="M532" s="44"/>
    </row>
    <row r="533" ht="15.75" customHeight="1">
      <c r="A533" s="48"/>
      <c r="B533" s="44"/>
      <c r="C533" s="31" t="str">
        <f t="array" ref="C533">IF(B533="","",IFERROR(INDEX(Listas!$Q$5:$Q$20,MATCH(B533,Listas!$P$5:$P$20,0)),""))</f>
        <v/>
      </c>
      <c r="D533" s="44"/>
      <c r="E533" s="44"/>
      <c r="F533" s="44"/>
      <c r="G533" s="44"/>
      <c r="H533" s="44"/>
      <c r="I533" s="49"/>
      <c r="J533" s="47"/>
      <c r="K533" s="50"/>
      <c r="L533" s="43" t="str">
        <f t="shared" si="1"/>
        <v/>
      </c>
      <c r="M533" s="44"/>
    </row>
    <row r="534" ht="15.75" customHeight="1">
      <c r="A534" s="48"/>
      <c r="B534" s="44"/>
      <c r="C534" s="31" t="str">
        <f t="array" ref="C534">IF(B534="","",IFERROR(INDEX(Listas!$Q$5:$Q$20,MATCH(B534,Listas!$P$5:$P$20,0)),""))</f>
        <v/>
      </c>
      <c r="D534" s="44"/>
      <c r="E534" s="44"/>
      <c r="F534" s="44"/>
      <c r="G534" s="44"/>
      <c r="H534" s="44"/>
      <c r="I534" s="49"/>
      <c r="J534" s="47"/>
      <c r="K534" s="50"/>
      <c r="L534" s="43" t="str">
        <f t="shared" si="1"/>
        <v/>
      </c>
      <c r="M534" s="44"/>
    </row>
    <row r="535" ht="15.75" customHeight="1">
      <c r="A535" s="48"/>
      <c r="B535" s="44"/>
      <c r="C535" s="31" t="str">
        <f t="array" ref="C535">IF(B535="","",IFERROR(INDEX(Listas!$Q$5:$Q$20,MATCH(B535,Listas!$P$5:$P$20,0)),""))</f>
        <v/>
      </c>
      <c r="D535" s="44"/>
      <c r="E535" s="44"/>
      <c r="F535" s="44"/>
      <c r="G535" s="44"/>
      <c r="H535" s="44"/>
      <c r="I535" s="49"/>
      <c r="J535" s="47"/>
      <c r="K535" s="50"/>
      <c r="L535" s="43" t="str">
        <f t="shared" si="1"/>
        <v/>
      </c>
      <c r="M535" s="44"/>
    </row>
    <row r="536" ht="15.75" customHeight="1">
      <c r="A536" s="48"/>
      <c r="B536" s="44"/>
      <c r="C536" s="31" t="str">
        <f t="array" ref="C536">IF(B536="","",IFERROR(INDEX(Listas!$Q$5:$Q$20,MATCH(B536,Listas!$P$5:$P$20,0)),""))</f>
        <v/>
      </c>
      <c r="D536" s="44"/>
      <c r="E536" s="44"/>
      <c r="F536" s="44"/>
      <c r="G536" s="44"/>
      <c r="H536" s="44"/>
      <c r="I536" s="49"/>
      <c r="J536" s="47"/>
      <c r="K536" s="50"/>
      <c r="L536" s="43" t="str">
        <f t="shared" si="1"/>
        <v/>
      </c>
      <c r="M536" s="44"/>
    </row>
    <row r="537" ht="15.75" customHeight="1">
      <c r="A537" s="48"/>
      <c r="B537" s="44"/>
      <c r="C537" s="31" t="str">
        <f t="array" ref="C537">IF(B537="","",IFERROR(INDEX(Listas!$Q$5:$Q$20,MATCH(B537,Listas!$P$5:$P$20,0)),""))</f>
        <v/>
      </c>
      <c r="D537" s="44"/>
      <c r="E537" s="44"/>
      <c r="F537" s="44"/>
      <c r="G537" s="44"/>
      <c r="H537" s="44"/>
      <c r="I537" s="49"/>
      <c r="J537" s="47"/>
      <c r="K537" s="50"/>
      <c r="L537" s="43" t="str">
        <f t="shared" si="1"/>
        <v/>
      </c>
      <c r="M537" s="44"/>
    </row>
    <row r="538" ht="15.75" customHeight="1">
      <c r="A538" s="48"/>
      <c r="B538" s="44"/>
      <c r="C538" s="31" t="str">
        <f t="array" ref="C538">IF(B538="","",IFERROR(INDEX(Listas!$Q$5:$Q$20,MATCH(B538,Listas!$P$5:$P$20,0)),""))</f>
        <v/>
      </c>
      <c r="D538" s="44"/>
      <c r="E538" s="44"/>
      <c r="F538" s="44"/>
      <c r="G538" s="44"/>
      <c r="H538" s="44"/>
      <c r="I538" s="49"/>
      <c r="J538" s="47"/>
      <c r="K538" s="50"/>
      <c r="L538" s="43" t="str">
        <f t="shared" si="1"/>
        <v/>
      </c>
      <c r="M538" s="44"/>
    </row>
    <row r="539" ht="15.75" customHeight="1">
      <c r="A539" s="48"/>
      <c r="B539" s="44"/>
      <c r="C539" s="31" t="str">
        <f t="array" ref="C539">IF(B539="","",IFERROR(INDEX(Listas!$Q$5:$Q$20,MATCH(B539,Listas!$P$5:$P$20,0)),""))</f>
        <v/>
      </c>
      <c r="D539" s="44"/>
      <c r="E539" s="44"/>
      <c r="F539" s="44"/>
      <c r="G539" s="44"/>
      <c r="H539" s="44"/>
      <c r="I539" s="49"/>
      <c r="J539" s="47"/>
      <c r="K539" s="50"/>
      <c r="L539" s="43" t="str">
        <f t="shared" si="1"/>
        <v/>
      </c>
      <c r="M539" s="44"/>
    </row>
    <row r="540" ht="15.75" customHeight="1">
      <c r="A540" s="48"/>
      <c r="B540" s="44"/>
      <c r="C540" s="31" t="str">
        <f t="array" ref="C540">IF(B540="","",IFERROR(INDEX(Listas!$Q$5:$Q$20,MATCH(B540,Listas!$P$5:$P$20,0)),""))</f>
        <v/>
      </c>
      <c r="D540" s="44"/>
      <c r="E540" s="44"/>
      <c r="F540" s="44"/>
      <c r="G540" s="44"/>
      <c r="H540" s="44"/>
      <c r="I540" s="49"/>
      <c r="J540" s="47"/>
      <c r="K540" s="50"/>
      <c r="L540" s="43" t="str">
        <f t="shared" si="1"/>
        <v/>
      </c>
      <c r="M540" s="44"/>
    </row>
    <row r="541" ht="15.75" customHeight="1">
      <c r="A541" s="48"/>
      <c r="B541" s="44"/>
      <c r="C541" s="31" t="str">
        <f t="array" ref="C541">IF(B541="","",IFERROR(INDEX(Listas!$Q$5:$Q$20,MATCH(B541,Listas!$P$5:$P$20,0)),""))</f>
        <v/>
      </c>
      <c r="D541" s="44"/>
      <c r="E541" s="44"/>
      <c r="F541" s="44"/>
      <c r="G541" s="44"/>
      <c r="H541" s="44"/>
      <c r="I541" s="49"/>
      <c r="J541" s="47"/>
      <c r="K541" s="50"/>
      <c r="L541" s="43" t="str">
        <f t="shared" si="1"/>
        <v/>
      </c>
      <c r="M541" s="44"/>
    </row>
    <row r="542" ht="15.75" customHeight="1">
      <c r="A542" s="48"/>
      <c r="B542" s="44"/>
      <c r="C542" s="31" t="str">
        <f t="array" ref="C542">IF(B542="","",IFERROR(INDEX(Listas!$Q$5:$Q$20,MATCH(B542,Listas!$P$5:$P$20,0)),""))</f>
        <v/>
      </c>
      <c r="D542" s="44"/>
      <c r="E542" s="44"/>
      <c r="F542" s="44"/>
      <c r="G542" s="44"/>
      <c r="H542" s="44"/>
      <c r="I542" s="49"/>
      <c r="J542" s="47"/>
      <c r="K542" s="50"/>
      <c r="L542" s="43" t="str">
        <f t="shared" si="1"/>
        <v/>
      </c>
      <c r="M542" s="44"/>
    </row>
    <row r="543" ht="15.75" customHeight="1">
      <c r="A543" s="48"/>
      <c r="B543" s="44"/>
      <c r="C543" s="31" t="str">
        <f t="array" ref="C543">IF(B543="","",IFERROR(INDEX(Listas!$Q$5:$Q$20,MATCH(B543,Listas!$P$5:$P$20,0)),""))</f>
        <v/>
      </c>
      <c r="D543" s="44"/>
      <c r="E543" s="44"/>
      <c r="F543" s="44"/>
      <c r="G543" s="44"/>
      <c r="H543" s="44"/>
      <c r="I543" s="49"/>
      <c r="J543" s="47"/>
      <c r="K543" s="50"/>
      <c r="L543" s="43" t="str">
        <f t="shared" si="1"/>
        <v/>
      </c>
      <c r="M543" s="44"/>
    </row>
    <row r="544" ht="15.75" customHeight="1">
      <c r="A544" s="48"/>
      <c r="B544" s="44"/>
      <c r="C544" s="31" t="str">
        <f t="array" ref="C544">IF(B544="","",IFERROR(INDEX(Listas!$Q$5:$Q$20,MATCH(B544,Listas!$P$5:$P$20,0)),""))</f>
        <v/>
      </c>
      <c r="D544" s="44"/>
      <c r="E544" s="44"/>
      <c r="F544" s="44"/>
      <c r="G544" s="44"/>
      <c r="H544" s="44"/>
      <c r="I544" s="49"/>
      <c r="J544" s="47"/>
      <c r="K544" s="50"/>
      <c r="L544" s="43" t="str">
        <f t="shared" si="1"/>
        <v/>
      </c>
      <c r="M544" s="44"/>
    </row>
    <row r="545" ht="15.75" customHeight="1">
      <c r="A545" s="48"/>
      <c r="B545" s="44"/>
      <c r="C545" s="31" t="str">
        <f t="array" ref="C545">IF(B545="","",IFERROR(INDEX(Listas!$Q$5:$Q$20,MATCH(B545,Listas!$P$5:$P$20,0)),""))</f>
        <v/>
      </c>
      <c r="D545" s="44"/>
      <c r="E545" s="44"/>
      <c r="F545" s="44"/>
      <c r="G545" s="44"/>
      <c r="H545" s="44"/>
      <c r="I545" s="49"/>
      <c r="J545" s="47"/>
      <c r="K545" s="50"/>
      <c r="L545" s="43" t="str">
        <f t="shared" si="1"/>
        <v/>
      </c>
      <c r="M545" s="44"/>
    </row>
    <row r="546" ht="15.75" customHeight="1">
      <c r="A546" s="48"/>
      <c r="B546" s="44"/>
      <c r="C546" s="31" t="str">
        <f t="array" ref="C546">IF(B546="","",IFERROR(INDEX(Listas!$Q$5:$Q$20,MATCH(B546,Listas!$P$5:$P$20,0)),""))</f>
        <v/>
      </c>
      <c r="D546" s="44"/>
      <c r="E546" s="44"/>
      <c r="F546" s="44"/>
      <c r="G546" s="44"/>
      <c r="H546" s="44"/>
      <c r="I546" s="49"/>
      <c r="J546" s="47"/>
      <c r="K546" s="50"/>
      <c r="L546" s="43" t="str">
        <f t="shared" si="1"/>
        <v/>
      </c>
      <c r="M546" s="44"/>
    </row>
    <row r="547" ht="15.75" customHeight="1">
      <c r="A547" s="48"/>
      <c r="B547" s="44"/>
      <c r="C547" s="31" t="str">
        <f t="array" ref="C547">IF(B547="","",IFERROR(INDEX(Listas!$Q$5:$Q$20,MATCH(B547,Listas!$P$5:$P$20,0)),""))</f>
        <v/>
      </c>
      <c r="D547" s="44"/>
      <c r="E547" s="44"/>
      <c r="F547" s="44"/>
      <c r="G547" s="44"/>
      <c r="H547" s="44"/>
      <c r="I547" s="49"/>
      <c r="J547" s="47"/>
      <c r="K547" s="50"/>
      <c r="L547" s="43" t="str">
        <f t="shared" si="1"/>
        <v/>
      </c>
      <c r="M547" s="44"/>
    </row>
    <row r="548" ht="15.75" customHeight="1">
      <c r="A548" s="48"/>
      <c r="B548" s="44"/>
      <c r="C548" s="31" t="str">
        <f t="array" ref="C548">IF(B548="","",IFERROR(INDEX(Listas!$Q$5:$Q$20,MATCH(B548,Listas!$P$5:$P$20,0)),""))</f>
        <v/>
      </c>
      <c r="D548" s="44"/>
      <c r="E548" s="44"/>
      <c r="F548" s="44"/>
      <c r="G548" s="44"/>
      <c r="H548" s="44"/>
      <c r="I548" s="49"/>
      <c r="J548" s="47"/>
      <c r="K548" s="50"/>
      <c r="L548" s="43" t="str">
        <f t="shared" si="1"/>
        <v/>
      </c>
      <c r="M548" s="44"/>
    </row>
    <row r="549" ht="15.75" customHeight="1">
      <c r="A549" s="48"/>
      <c r="B549" s="44"/>
      <c r="C549" s="31" t="str">
        <f t="array" ref="C549">IF(B549="","",IFERROR(INDEX(Listas!$Q$5:$Q$20,MATCH(B549,Listas!$P$5:$P$20,0)),""))</f>
        <v/>
      </c>
      <c r="D549" s="44"/>
      <c r="E549" s="44"/>
      <c r="F549" s="44"/>
      <c r="G549" s="44"/>
      <c r="H549" s="44"/>
      <c r="I549" s="49"/>
      <c r="J549" s="47"/>
      <c r="K549" s="50"/>
      <c r="L549" s="43" t="str">
        <f t="shared" si="1"/>
        <v/>
      </c>
      <c r="M549" s="44"/>
    </row>
    <row r="550" ht="15.75" customHeight="1">
      <c r="A550" s="48"/>
      <c r="B550" s="44"/>
      <c r="C550" s="31" t="str">
        <f t="array" ref="C550">IF(B550="","",IFERROR(INDEX(Listas!$Q$5:$Q$20,MATCH(B550,Listas!$P$5:$P$20,0)),""))</f>
        <v/>
      </c>
      <c r="D550" s="44"/>
      <c r="E550" s="44"/>
      <c r="F550" s="44"/>
      <c r="G550" s="44"/>
      <c r="H550" s="44"/>
      <c r="I550" s="49"/>
      <c r="J550" s="47"/>
      <c r="K550" s="50"/>
      <c r="L550" s="43" t="str">
        <f t="shared" si="1"/>
        <v/>
      </c>
      <c r="M550" s="44"/>
    </row>
    <row r="551" ht="15.75" customHeight="1">
      <c r="A551" s="48"/>
      <c r="B551" s="44"/>
      <c r="C551" s="31" t="str">
        <f t="array" ref="C551">IF(B551="","",IFERROR(INDEX(Listas!$Q$5:$Q$20,MATCH(B551,Listas!$P$5:$P$20,0)),""))</f>
        <v/>
      </c>
      <c r="D551" s="44"/>
      <c r="E551" s="44"/>
      <c r="F551" s="44"/>
      <c r="G551" s="44"/>
      <c r="H551" s="44"/>
      <c r="I551" s="49"/>
      <c r="J551" s="47"/>
      <c r="K551" s="50"/>
      <c r="L551" s="43" t="str">
        <f t="shared" si="1"/>
        <v/>
      </c>
      <c r="M551" s="44"/>
    </row>
    <row r="552" ht="15.75" customHeight="1">
      <c r="A552" s="48"/>
      <c r="B552" s="44"/>
      <c r="C552" s="31" t="str">
        <f t="array" ref="C552">IF(B552="","",IFERROR(INDEX(Listas!$Q$5:$Q$20,MATCH(B552,Listas!$P$5:$P$20,0)),""))</f>
        <v/>
      </c>
      <c r="D552" s="44"/>
      <c r="E552" s="44"/>
      <c r="F552" s="44"/>
      <c r="G552" s="44"/>
      <c r="H552" s="44"/>
      <c r="I552" s="49"/>
      <c r="J552" s="47"/>
      <c r="K552" s="50"/>
      <c r="L552" s="43" t="str">
        <f t="shared" si="1"/>
        <v/>
      </c>
      <c r="M552" s="44"/>
    </row>
    <row r="553" ht="15.75" customHeight="1">
      <c r="A553" s="48"/>
      <c r="B553" s="44"/>
      <c r="C553" s="31" t="str">
        <f t="array" ref="C553">IF(B553="","",IFERROR(INDEX(Listas!$Q$5:$Q$20,MATCH(B553,Listas!$P$5:$P$20,0)),""))</f>
        <v/>
      </c>
      <c r="D553" s="44"/>
      <c r="E553" s="44"/>
      <c r="F553" s="44"/>
      <c r="G553" s="44"/>
      <c r="H553" s="44"/>
      <c r="I553" s="49"/>
      <c r="J553" s="47"/>
      <c r="K553" s="50"/>
      <c r="L553" s="43" t="str">
        <f t="shared" si="1"/>
        <v/>
      </c>
      <c r="M553" s="44"/>
    </row>
    <row r="554" ht="15.75" customHeight="1">
      <c r="A554" s="48"/>
      <c r="B554" s="44"/>
      <c r="C554" s="31" t="str">
        <f t="array" ref="C554">IF(B554="","",IFERROR(INDEX(Listas!$Q$5:$Q$20,MATCH(B554,Listas!$P$5:$P$20,0)),""))</f>
        <v/>
      </c>
      <c r="D554" s="44"/>
      <c r="E554" s="44"/>
      <c r="F554" s="44"/>
      <c r="G554" s="44"/>
      <c r="H554" s="44"/>
      <c r="I554" s="49"/>
      <c r="J554" s="47"/>
      <c r="K554" s="50"/>
      <c r="L554" s="43" t="str">
        <f t="shared" si="1"/>
        <v/>
      </c>
      <c r="M554" s="44"/>
    </row>
    <row r="555" ht="15.75" customHeight="1">
      <c r="A555" s="48"/>
      <c r="B555" s="44"/>
      <c r="C555" s="31" t="str">
        <f t="array" ref="C555">IF(B555="","",IFERROR(INDEX(Listas!$Q$5:$Q$20,MATCH(B555,Listas!$P$5:$P$20,0)),""))</f>
        <v/>
      </c>
      <c r="D555" s="44"/>
      <c r="E555" s="44"/>
      <c r="F555" s="44"/>
      <c r="G555" s="44"/>
      <c r="H555" s="44"/>
      <c r="I555" s="49"/>
      <c r="J555" s="47"/>
      <c r="K555" s="50"/>
      <c r="L555" s="43" t="str">
        <f t="shared" si="1"/>
        <v/>
      </c>
      <c r="M555" s="44"/>
    </row>
    <row r="556" ht="15.75" customHeight="1">
      <c r="A556" s="48"/>
      <c r="B556" s="44"/>
      <c r="C556" s="31" t="str">
        <f t="array" ref="C556">IF(B556="","",IFERROR(INDEX(Listas!$Q$5:$Q$20,MATCH(B556,Listas!$P$5:$P$20,0)),""))</f>
        <v/>
      </c>
      <c r="D556" s="44"/>
      <c r="E556" s="44"/>
      <c r="F556" s="44"/>
      <c r="G556" s="44"/>
      <c r="H556" s="44"/>
      <c r="I556" s="49"/>
      <c r="J556" s="47"/>
      <c r="K556" s="50"/>
      <c r="L556" s="43" t="str">
        <f t="shared" si="1"/>
        <v/>
      </c>
      <c r="M556" s="44"/>
    </row>
    <row r="557" ht="15.75" customHeight="1">
      <c r="A557" s="48"/>
      <c r="B557" s="44"/>
      <c r="C557" s="31" t="str">
        <f t="array" ref="C557">IF(B557="","",IFERROR(INDEX(Listas!$Q$5:$Q$20,MATCH(B557,Listas!$P$5:$P$20,0)),""))</f>
        <v/>
      </c>
      <c r="D557" s="44"/>
      <c r="E557" s="44"/>
      <c r="F557" s="44"/>
      <c r="G557" s="44"/>
      <c r="H557" s="44"/>
      <c r="I557" s="49"/>
      <c r="J557" s="47"/>
      <c r="K557" s="50"/>
      <c r="L557" s="43" t="str">
        <f t="shared" si="1"/>
        <v/>
      </c>
      <c r="M557" s="44"/>
    </row>
    <row r="558" ht="15.75" customHeight="1">
      <c r="A558" s="48"/>
      <c r="B558" s="44"/>
      <c r="C558" s="31" t="str">
        <f t="array" ref="C558">IF(B558="","",IFERROR(INDEX(Listas!$Q$5:$Q$20,MATCH(B558,Listas!$P$5:$P$20,0)),""))</f>
        <v/>
      </c>
      <c r="D558" s="44"/>
      <c r="E558" s="44"/>
      <c r="F558" s="44"/>
      <c r="G558" s="44"/>
      <c r="H558" s="44"/>
      <c r="I558" s="49"/>
      <c r="J558" s="47"/>
      <c r="K558" s="50"/>
      <c r="L558" s="43" t="str">
        <f t="shared" si="1"/>
        <v/>
      </c>
      <c r="M558" s="44"/>
    </row>
    <row r="559" ht="15.75" customHeight="1">
      <c r="A559" s="48"/>
      <c r="B559" s="44"/>
      <c r="C559" s="31" t="str">
        <f t="array" ref="C559">IF(B559="","",IFERROR(INDEX(Listas!$Q$5:$Q$20,MATCH(B559,Listas!$P$5:$P$20,0)),""))</f>
        <v/>
      </c>
      <c r="D559" s="44"/>
      <c r="E559" s="44"/>
      <c r="F559" s="44"/>
      <c r="G559" s="44"/>
      <c r="H559" s="44"/>
      <c r="I559" s="49"/>
      <c r="J559" s="47"/>
      <c r="K559" s="50"/>
      <c r="L559" s="43" t="str">
        <f t="shared" si="1"/>
        <v/>
      </c>
      <c r="M559" s="44"/>
    </row>
    <row r="560" ht="15.75" customHeight="1">
      <c r="A560" s="48"/>
      <c r="B560" s="44"/>
      <c r="C560" s="31" t="str">
        <f t="array" ref="C560">IF(B560="","",IFERROR(INDEX(Listas!$Q$5:$Q$20,MATCH(B560,Listas!$P$5:$P$20,0)),""))</f>
        <v/>
      </c>
      <c r="D560" s="44"/>
      <c r="E560" s="44"/>
      <c r="F560" s="44"/>
      <c r="G560" s="44"/>
      <c r="H560" s="44"/>
      <c r="I560" s="49"/>
      <c r="J560" s="47"/>
      <c r="K560" s="50"/>
      <c r="L560" s="43" t="str">
        <f t="shared" si="1"/>
        <v/>
      </c>
      <c r="M560" s="44"/>
    </row>
    <row r="561" ht="15.75" customHeight="1">
      <c r="A561" s="48"/>
      <c r="B561" s="44"/>
      <c r="C561" s="31" t="str">
        <f t="array" ref="C561">IF(B561="","",IFERROR(INDEX(Listas!$Q$5:$Q$20,MATCH(B561,Listas!$P$5:$P$20,0)),""))</f>
        <v/>
      </c>
      <c r="D561" s="44"/>
      <c r="E561" s="44"/>
      <c r="F561" s="44"/>
      <c r="G561" s="44"/>
      <c r="H561" s="44"/>
      <c r="I561" s="49"/>
      <c r="J561" s="47"/>
      <c r="K561" s="50"/>
      <c r="L561" s="43" t="str">
        <f t="shared" si="1"/>
        <v/>
      </c>
      <c r="M561" s="44"/>
    </row>
    <row r="562" ht="15.75" customHeight="1">
      <c r="A562" s="48"/>
      <c r="B562" s="44"/>
      <c r="C562" s="31" t="str">
        <f t="array" ref="C562">IF(B562="","",IFERROR(INDEX(Listas!$Q$5:$Q$20,MATCH(B562,Listas!$P$5:$P$20,0)),""))</f>
        <v/>
      </c>
      <c r="D562" s="44"/>
      <c r="E562" s="44"/>
      <c r="F562" s="44"/>
      <c r="G562" s="44"/>
      <c r="H562" s="44"/>
      <c r="I562" s="49"/>
      <c r="J562" s="47"/>
      <c r="K562" s="50"/>
      <c r="L562" s="43" t="str">
        <f t="shared" si="1"/>
        <v/>
      </c>
      <c r="M562" s="44"/>
    </row>
    <row r="563" ht="15.75" customHeight="1">
      <c r="A563" s="48"/>
      <c r="B563" s="44"/>
      <c r="C563" s="31" t="str">
        <f t="array" ref="C563">IF(B563="","",IFERROR(INDEX(Listas!$Q$5:$Q$20,MATCH(B563,Listas!$P$5:$P$20,0)),""))</f>
        <v/>
      </c>
      <c r="D563" s="44"/>
      <c r="E563" s="44"/>
      <c r="F563" s="44"/>
      <c r="G563" s="44"/>
      <c r="H563" s="44"/>
      <c r="I563" s="49"/>
      <c r="J563" s="47"/>
      <c r="K563" s="50"/>
      <c r="L563" s="43" t="str">
        <f t="shared" si="1"/>
        <v/>
      </c>
      <c r="M563" s="44"/>
    </row>
    <row r="564" ht="15.75" customHeight="1">
      <c r="A564" s="48"/>
      <c r="B564" s="44"/>
      <c r="C564" s="31" t="str">
        <f t="array" ref="C564">IF(B564="","",IFERROR(INDEX(Listas!$Q$5:$Q$20,MATCH(B564,Listas!$P$5:$P$20,0)),""))</f>
        <v/>
      </c>
      <c r="D564" s="44"/>
      <c r="E564" s="44"/>
      <c r="F564" s="44"/>
      <c r="G564" s="44"/>
      <c r="H564" s="44"/>
      <c r="I564" s="49"/>
      <c r="J564" s="47"/>
      <c r="K564" s="50"/>
      <c r="L564" s="43" t="str">
        <f t="shared" si="1"/>
        <v/>
      </c>
      <c r="M564" s="44"/>
    </row>
    <row r="565" ht="15.75" customHeight="1">
      <c r="A565" s="48"/>
      <c r="B565" s="44"/>
      <c r="C565" s="31" t="str">
        <f t="array" ref="C565">IF(B565="","",IFERROR(INDEX(Listas!$Q$5:$Q$20,MATCH(B565,Listas!$P$5:$P$20,0)),""))</f>
        <v/>
      </c>
      <c r="D565" s="44"/>
      <c r="E565" s="44"/>
      <c r="F565" s="44"/>
      <c r="G565" s="44"/>
      <c r="H565" s="44"/>
      <c r="I565" s="49"/>
      <c r="J565" s="47"/>
      <c r="K565" s="50"/>
      <c r="L565" s="43" t="str">
        <f t="shared" si="1"/>
        <v/>
      </c>
      <c r="M565" s="44"/>
    </row>
    <row r="566" ht="15.75" customHeight="1">
      <c r="A566" s="48"/>
      <c r="B566" s="44"/>
      <c r="C566" s="31" t="str">
        <f t="array" ref="C566">IF(B566="","",IFERROR(INDEX(Listas!$Q$5:$Q$20,MATCH(B566,Listas!$P$5:$P$20,0)),""))</f>
        <v/>
      </c>
      <c r="D566" s="44"/>
      <c r="E566" s="44"/>
      <c r="F566" s="44"/>
      <c r="G566" s="44"/>
      <c r="H566" s="44"/>
      <c r="I566" s="49"/>
      <c r="J566" s="47"/>
      <c r="K566" s="50"/>
      <c r="L566" s="43" t="str">
        <f t="shared" si="1"/>
        <v/>
      </c>
      <c r="M566" s="44"/>
    </row>
    <row r="567" ht="15.75" customHeight="1">
      <c r="A567" s="48"/>
      <c r="B567" s="44"/>
      <c r="C567" s="31" t="str">
        <f t="array" ref="C567">IF(B567="","",IFERROR(INDEX(Listas!$Q$5:$Q$20,MATCH(B567,Listas!$P$5:$P$20,0)),""))</f>
        <v/>
      </c>
      <c r="D567" s="44"/>
      <c r="E567" s="44"/>
      <c r="F567" s="44"/>
      <c r="G567" s="44"/>
      <c r="H567" s="44"/>
      <c r="I567" s="49"/>
      <c r="J567" s="47"/>
      <c r="K567" s="50"/>
      <c r="L567" s="43" t="str">
        <f t="shared" si="1"/>
        <v/>
      </c>
      <c r="M567" s="44"/>
    </row>
    <row r="568" ht="15.75" customHeight="1">
      <c r="A568" s="48"/>
      <c r="B568" s="44"/>
      <c r="C568" s="31" t="str">
        <f t="array" ref="C568">IF(B568="","",IFERROR(INDEX(Listas!$Q$5:$Q$20,MATCH(B568,Listas!$P$5:$P$20,0)),""))</f>
        <v/>
      </c>
      <c r="D568" s="44"/>
      <c r="E568" s="44"/>
      <c r="F568" s="44"/>
      <c r="G568" s="44"/>
      <c r="H568" s="44"/>
      <c r="I568" s="49"/>
      <c r="J568" s="47"/>
      <c r="K568" s="50"/>
      <c r="L568" s="43" t="str">
        <f t="shared" si="1"/>
        <v/>
      </c>
      <c r="M568" s="44"/>
    </row>
    <row r="569" ht="15.75" customHeight="1">
      <c r="A569" s="48"/>
      <c r="B569" s="44"/>
      <c r="C569" s="31" t="str">
        <f t="array" ref="C569">IF(B569="","",IFERROR(INDEX(Listas!$Q$5:$Q$20,MATCH(B569,Listas!$P$5:$P$20,0)),""))</f>
        <v/>
      </c>
      <c r="D569" s="44"/>
      <c r="E569" s="44"/>
      <c r="F569" s="44"/>
      <c r="G569" s="44"/>
      <c r="H569" s="44"/>
      <c r="I569" s="49"/>
      <c r="J569" s="47"/>
      <c r="K569" s="50"/>
      <c r="L569" s="43" t="str">
        <f t="shared" si="1"/>
        <v/>
      </c>
      <c r="M569" s="44"/>
    </row>
    <row r="570" ht="15.75" customHeight="1">
      <c r="A570" s="48"/>
      <c r="B570" s="44"/>
      <c r="C570" s="31" t="str">
        <f t="array" ref="C570">IF(B570="","",IFERROR(INDEX(Listas!$Q$5:$Q$20,MATCH(B570,Listas!$P$5:$P$20,0)),""))</f>
        <v/>
      </c>
      <c r="D570" s="44"/>
      <c r="E570" s="44"/>
      <c r="F570" s="44"/>
      <c r="G570" s="44"/>
      <c r="H570" s="44"/>
      <c r="I570" s="49"/>
      <c r="J570" s="47"/>
      <c r="K570" s="50"/>
      <c r="L570" s="43" t="str">
        <f t="shared" si="1"/>
        <v/>
      </c>
      <c r="M570" s="44"/>
    </row>
    <row r="571" ht="15.75" customHeight="1">
      <c r="A571" s="48"/>
      <c r="B571" s="44"/>
      <c r="C571" s="31" t="str">
        <f t="array" ref="C571">IF(B571="","",IFERROR(INDEX(Listas!$Q$5:$Q$20,MATCH(B571,Listas!$P$5:$P$20,0)),""))</f>
        <v/>
      </c>
      <c r="D571" s="44"/>
      <c r="E571" s="44"/>
      <c r="F571" s="44"/>
      <c r="G571" s="44"/>
      <c r="H571" s="44"/>
      <c r="I571" s="49"/>
      <c r="J571" s="47"/>
      <c r="K571" s="50"/>
      <c r="L571" s="43" t="str">
        <f t="shared" si="1"/>
        <v/>
      </c>
      <c r="M571" s="44"/>
    </row>
    <row r="572" ht="15.75" customHeight="1">
      <c r="A572" s="48"/>
      <c r="B572" s="44"/>
      <c r="C572" s="31" t="str">
        <f t="array" ref="C572">IF(B572="","",IFERROR(INDEX(Listas!$Q$5:$Q$20,MATCH(B572,Listas!$P$5:$P$20,0)),""))</f>
        <v/>
      </c>
      <c r="D572" s="44"/>
      <c r="E572" s="44"/>
      <c r="F572" s="44"/>
      <c r="G572" s="44"/>
      <c r="H572" s="44"/>
      <c r="I572" s="49"/>
      <c r="J572" s="47"/>
      <c r="K572" s="50"/>
      <c r="L572" s="43" t="str">
        <f t="shared" si="1"/>
        <v/>
      </c>
      <c r="M572" s="44"/>
    </row>
    <row r="573" ht="15.75" customHeight="1">
      <c r="A573" s="48"/>
      <c r="B573" s="44"/>
      <c r="C573" s="31" t="str">
        <f t="array" ref="C573">IF(B573="","",IFERROR(INDEX(Listas!$Q$5:$Q$20,MATCH(B573,Listas!$P$5:$P$20,0)),""))</f>
        <v/>
      </c>
      <c r="D573" s="44"/>
      <c r="E573" s="44"/>
      <c r="F573" s="44"/>
      <c r="G573" s="44"/>
      <c r="H573" s="44"/>
      <c r="I573" s="49"/>
      <c r="J573" s="47"/>
      <c r="K573" s="50"/>
      <c r="L573" s="43" t="str">
        <f t="shared" si="1"/>
        <v/>
      </c>
      <c r="M573" s="44"/>
    </row>
    <row r="574" ht="15.75" customHeight="1">
      <c r="A574" s="48"/>
      <c r="B574" s="44"/>
      <c r="C574" s="31" t="str">
        <f t="array" ref="C574">IF(B574="","",IFERROR(INDEX(Listas!$Q$5:$Q$20,MATCH(B574,Listas!$P$5:$P$20,0)),""))</f>
        <v/>
      </c>
      <c r="D574" s="44"/>
      <c r="E574" s="44"/>
      <c r="F574" s="44"/>
      <c r="G574" s="44"/>
      <c r="H574" s="44"/>
      <c r="I574" s="49"/>
      <c r="J574" s="47"/>
      <c r="K574" s="50"/>
      <c r="L574" s="43" t="str">
        <f t="shared" si="1"/>
        <v/>
      </c>
      <c r="M574" s="44"/>
    </row>
    <row r="575" ht="15.75" customHeight="1">
      <c r="A575" s="48"/>
      <c r="B575" s="44"/>
      <c r="C575" s="31" t="str">
        <f t="array" ref="C575">IF(B575="","",IFERROR(INDEX(Listas!$Q$5:$Q$20,MATCH(B575,Listas!$P$5:$P$20,0)),""))</f>
        <v/>
      </c>
      <c r="D575" s="44"/>
      <c r="E575" s="44"/>
      <c r="F575" s="44"/>
      <c r="G575" s="44"/>
      <c r="H575" s="44"/>
      <c r="I575" s="49"/>
      <c r="J575" s="47"/>
      <c r="K575" s="50"/>
      <c r="L575" s="43" t="str">
        <f t="shared" si="1"/>
        <v/>
      </c>
      <c r="M575" s="44"/>
    </row>
    <row r="576" ht="15.75" customHeight="1">
      <c r="A576" s="48"/>
      <c r="B576" s="44"/>
      <c r="C576" s="31" t="str">
        <f t="array" ref="C576">IF(B576="","",IFERROR(INDEX(Listas!$Q$5:$Q$20,MATCH(B576,Listas!$P$5:$P$20,0)),""))</f>
        <v/>
      </c>
      <c r="D576" s="44"/>
      <c r="E576" s="44"/>
      <c r="F576" s="44"/>
      <c r="G576" s="44"/>
      <c r="H576" s="44"/>
      <c r="I576" s="49"/>
      <c r="J576" s="47"/>
      <c r="K576" s="50"/>
      <c r="L576" s="43" t="str">
        <f t="shared" si="1"/>
        <v/>
      </c>
      <c r="M576" s="44"/>
    </row>
    <row r="577" ht="15.75" customHeight="1">
      <c r="A577" s="48"/>
      <c r="B577" s="44"/>
      <c r="C577" s="31" t="str">
        <f t="array" ref="C577">IF(B577="","",IFERROR(INDEX(Listas!$Q$5:$Q$20,MATCH(B577,Listas!$P$5:$P$20,0)),""))</f>
        <v/>
      </c>
      <c r="D577" s="44"/>
      <c r="E577" s="44"/>
      <c r="F577" s="44"/>
      <c r="G577" s="44"/>
      <c r="H577" s="44"/>
      <c r="I577" s="49"/>
      <c r="J577" s="47"/>
      <c r="K577" s="50"/>
      <c r="L577" s="43" t="str">
        <f t="shared" si="1"/>
        <v/>
      </c>
      <c r="M577" s="44"/>
    </row>
    <row r="578" ht="15.75" customHeight="1">
      <c r="A578" s="48"/>
      <c r="B578" s="44"/>
      <c r="C578" s="31" t="str">
        <f t="array" ref="C578">IF(B578="","",IFERROR(INDEX(Listas!$Q$5:$Q$20,MATCH(B578,Listas!$P$5:$P$20,0)),""))</f>
        <v/>
      </c>
      <c r="D578" s="44"/>
      <c r="E578" s="44"/>
      <c r="F578" s="44"/>
      <c r="G578" s="44"/>
      <c r="H578" s="44"/>
      <c r="I578" s="49"/>
      <c r="J578" s="47"/>
      <c r="K578" s="50"/>
      <c r="L578" s="43" t="str">
        <f t="shared" si="1"/>
        <v/>
      </c>
      <c r="M578" s="44"/>
    </row>
    <row r="579" ht="15.75" customHeight="1">
      <c r="A579" s="48"/>
      <c r="B579" s="44"/>
      <c r="C579" s="31" t="str">
        <f t="array" ref="C579">IF(B579="","",IFERROR(INDEX(Listas!$Q$5:$Q$20,MATCH(B579,Listas!$P$5:$P$20,0)),""))</f>
        <v/>
      </c>
      <c r="D579" s="44"/>
      <c r="E579" s="44"/>
      <c r="F579" s="44"/>
      <c r="G579" s="44"/>
      <c r="H579" s="44"/>
      <c r="I579" s="49"/>
      <c r="J579" s="47"/>
      <c r="K579" s="50"/>
      <c r="L579" s="43" t="str">
        <f t="shared" si="1"/>
        <v/>
      </c>
      <c r="M579" s="44"/>
    </row>
    <row r="580" ht="15.75" customHeight="1">
      <c r="A580" s="48"/>
      <c r="B580" s="44"/>
      <c r="C580" s="31" t="str">
        <f t="array" ref="C580">IF(B580="","",IFERROR(INDEX(Listas!$Q$5:$Q$20,MATCH(B580,Listas!$P$5:$P$20,0)),""))</f>
        <v/>
      </c>
      <c r="D580" s="44"/>
      <c r="E580" s="44"/>
      <c r="F580" s="44"/>
      <c r="G580" s="44"/>
      <c r="H580" s="44"/>
      <c r="I580" s="49"/>
      <c r="J580" s="47"/>
      <c r="K580" s="50"/>
      <c r="L580" s="43" t="str">
        <f t="shared" si="1"/>
        <v/>
      </c>
      <c r="M580" s="44"/>
    </row>
    <row r="581" ht="15.75" customHeight="1">
      <c r="A581" s="48"/>
      <c r="B581" s="44"/>
      <c r="C581" s="31" t="str">
        <f t="array" ref="C581">IF(B581="","",IFERROR(INDEX(Listas!$Q$5:$Q$20,MATCH(B581,Listas!$P$5:$P$20,0)),""))</f>
        <v/>
      </c>
      <c r="D581" s="44"/>
      <c r="E581" s="44"/>
      <c r="F581" s="44"/>
      <c r="G581" s="44"/>
      <c r="H581" s="44"/>
      <c r="I581" s="49"/>
      <c r="J581" s="47"/>
      <c r="K581" s="50"/>
      <c r="L581" s="43" t="str">
        <f t="shared" si="1"/>
        <v/>
      </c>
      <c r="M581" s="44"/>
    </row>
    <row r="582" ht="15.75" customHeight="1">
      <c r="A582" s="48"/>
      <c r="B582" s="44"/>
      <c r="C582" s="31" t="str">
        <f t="array" ref="C582">IF(B582="","",IFERROR(INDEX(Listas!$Q$5:$Q$20,MATCH(B582,Listas!$P$5:$P$20,0)),""))</f>
        <v/>
      </c>
      <c r="D582" s="44"/>
      <c r="E582" s="44"/>
      <c r="F582" s="44"/>
      <c r="G582" s="44"/>
      <c r="H582" s="44"/>
      <c r="I582" s="49"/>
      <c r="J582" s="47"/>
      <c r="K582" s="50"/>
      <c r="L582" s="43" t="str">
        <f t="shared" si="1"/>
        <v/>
      </c>
      <c r="M582" s="44"/>
    </row>
    <row r="583" ht="15.75" customHeight="1">
      <c r="A583" s="48"/>
      <c r="B583" s="44"/>
      <c r="C583" s="31" t="str">
        <f t="array" ref="C583">IF(B583="","",IFERROR(INDEX(Listas!$Q$5:$Q$20,MATCH(B583,Listas!$P$5:$P$20,0)),""))</f>
        <v/>
      </c>
      <c r="D583" s="44"/>
      <c r="E583" s="44"/>
      <c r="F583" s="44"/>
      <c r="G583" s="44"/>
      <c r="H583" s="44"/>
      <c r="I583" s="49"/>
      <c r="J583" s="47"/>
      <c r="K583" s="50"/>
      <c r="L583" s="43" t="str">
        <f t="shared" si="1"/>
        <v/>
      </c>
      <c r="M583" s="44"/>
    </row>
    <row r="584" ht="15.75" customHeight="1">
      <c r="A584" s="48"/>
      <c r="B584" s="44"/>
      <c r="C584" s="31" t="str">
        <f t="array" ref="C584">IF(B584="","",IFERROR(INDEX(Listas!$Q$5:$Q$20,MATCH(B584,Listas!$P$5:$P$20,0)),""))</f>
        <v/>
      </c>
      <c r="D584" s="44"/>
      <c r="E584" s="44"/>
      <c r="F584" s="44"/>
      <c r="G584" s="44"/>
      <c r="H584" s="44"/>
      <c r="I584" s="49"/>
      <c r="J584" s="47"/>
      <c r="K584" s="50"/>
      <c r="L584" s="43" t="str">
        <f t="shared" si="1"/>
        <v/>
      </c>
      <c r="M584" s="44"/>
    </row>
    <row r="585" ht="15.75" customHeight="1">
      <c r="A585" s="48"/>
      <c r="B585" s="44"/>
      <c r="C585" s="31" t="str">
        <f t="array" ref="C585">IF(B585="","",IFERROR(INDEX(Listas!$Q$5:$Q$20,MATCH(B585,Listas!$P$5:$P$20,0)),""))</f>
        <v/>
      </c>
      <c r="D585" s="44"/>
      <c r="E585" s="44"/>
      <c r="F585" s="44"/>
      <c r="G585" s="44"/>
      <c r="H585" s="44"/>
      <c r="I585" s="49"/>
      <c r="J585" s="47"/>
      <c r="K585" s="50"/>
      <c r="L585" s="43" t="str">
        <f t="shared" si="1"/>
        <v/>
      </c>
      <c r="M585" s="44"/>
    </row>
    <row r="586" ht="15.75" customHeight="1">
      <c r="A586" s="48"/>
      <c r="B586" s="44"/>
      <c r="C586" s="31" t="str">
        <f t="array" ref="C586">IF(B586="","",IFERROR(INDEX(Listas!$Q$5:$Q$20,MATCH(B586,Listas!$P$5:$P$20,0)),""))</f>
        <v/>
      </c>
      <c r="D586" s="44"/>
      <c r="E586" s="44"/>
      <c r="F586" s="44"/>
      <c r="G586" s="44"/>
      <c r="H586" s="44"/>
      <c r="I586" s="49"/>
      <c r="J586" s="47"/>
      <c r="K586" s="50"/>
      <c r="L586" s="43" t="str">
        <f t="shared" si="1"/>
        <v/>
      </c>
      <c r="M586" s="44"/>
    </row>
    <row r="587" ht="15.75" customHeight="1">
      <c r="A587" s="48"/>
      <c r="B587" s="44"/>
      <c r="C587" s="31" t="str">
        <f t="array" ref="C587">IF(B587="","",IFERROR(INDEX(Listas!$Q$5:$Q$20,MATCH(B587,Listas!$P$5:$P$20,0)),""))</f>
        <v/>
      </c>
      <c r="D587" s="44"/>
      <c r="E587" s="44"/>
      <c r="F587" s="44"/>
      <c r="G587" s="44"/>
      <c r="H587" s="44"/>
      <c r="I587" s="49"/>
      <c r="J587" s="47"/>
      <c r="K587" s="50"/>
      <c r="L587" s="43" t="str">
        <f t="shared" si="1"/>
        <v/>
      </c>
      <c r="M587" s="44"/>
    </row>
    <row r="588" ht="15.75" customHeight="1">
      <c r="A588" s="48"/>
      <c r="B588" s="44"/>
      <c r="C588" s="31" t="str">
        <f t="array" ref="C588">IF(B588="","",IFERROR(INDEX(Listas!$Q$5:$Q$20,MATCH(B588,Listas!$P$5:$P$20,0)),""))</f>
        <v/>
      </c>
      <c r="D588" s="44"/>
      <c r="E588" s="44"/>
      <c r="F588" s="44"/>
      <c r="G588" s="44"/>
      <c r="H588" s="44"/>
      <c r="I588" s="49"/>
      <c r="J588" s="47"/>
      <c r="K588" s="50"/>
      <c r="L588" s="43" t="str">
        <f t="shared" si="1"/>
        <v/>
      </c>
      <c r="M588" s="44"/>
    </row>
    <row r="589" ht="15.75" customHeight="1">
      <c r="A589" s="48"/>
      <c r="B589" s="44"/>
      <c r="C589" s="31" t="str">
        <f t="array" ref="C589">IF(B589="","",IFERROR(INDEX(Listas!$Q$5:$Q$20,MATCH(B589,Listas!$P$5:$P$20,0)),""))</f>
        <v/>
      </c>
      <c r="D589" s="44"/>
      <c r="E589" s="44"/>
      <c r="F589" s="44"/>
      <c r="G589" s="44"/>
      <c r="H589" s="44"/>
      <c r="I589" s="49"/>
      <c r="J589" s="47"/>
      <c r="K589" s="50"/>
      <c r="L589" s="43" t="str">
        <f t="shared" si="1"/>
        <v/>
      </c>
      <c r="M589" s="44"/>
    </row>
    <row r="590" ht="15.75" customHeight="1">
      <c r="A590" s="48"/>
      <c r="B590" s="44"/>
      <c r="C590" s="31" t="str">
        <f t="array" ref="C590">IF(B590="","",IFERROR(INDEX(Listas!$Q$5:$Q$20,MATCH(B590,Listas!$P$5:$P$20,0)),""))</f>
        <v/>
      </c>
      <c r="D590" s="44"/>
      <c r="E590" s="44"/>
      <c r="F590" s="44"/>
      <c r="G590" s="44"/>
      <c r="H590" s="44"/>
      <c r="I590" s="49"/>
      <c r="J590" s="47"/>
      <c r="K590" s="50"/>
      <c r="L590" s="43" t="str">
        <f t="shared" si="1"/>
        <v/>
      </c>
      <c r="M590" s="44"/>
    </row>
    <row r="591" ht="15.75" customHeight="1">
      <c r="A591" s="48"/>
      <c r="B591" s="44"/>
      <c r="C591" s="31" t="str">
        <f t="array" ref="C591">IF(B591="","",IFERROR(INDEX(Listas!$Q$5:$Q$20,MATCH(B591,Listas!$P$5:$P$20,0)),""))</f>
        <v/>
      </c>
      <c r="D591" s="44"/>
      <c r="E591" s="44"/>
      <c r="F591" s="44"/>
      <c r="G591" s="44"/>
      <c r="H591" s="44"/>
      <c r="I591" s="49"/>
      <c r="J591" s="47"/>
      <c r="K591" s="50"/>
      <c r="L591" s="43" t="str">
        <f t="shared" si="1"/>
        <v/>
      </c>
      <c r="M591" s="44"/>
    </row>
    <row r="592" ht="15.75" customHeight="1">
      <c r="A592" s="48"/>
      <c r="B592" s="44"/>
      <c r="C592" s="31" t="str">
        <f t="array" ref="C592">IF(B592="","",IFERROR(INDEX(Listas!$Q$5:$Q$20,MATCH(B592,Listas!$P$5:$P$20,0)),""))</f>
        <v/>
      </c>
      <c r="D592" s="44"/>
      <c r="E592" s="44"/>
      <c r="F592" s="44"/>
      <c r="G592" s="44"/>
      <c r="H592" s="44"/>
      <c r="I592" s="49"/>
      <c r="J592" s="47"/>
      <c r="K592" s="50"/>
      <c r="L592" s="43" t="str">
        <f t="shared" si="1"/>
        <v/>
      </c>
      <c r="M592" s="44"/>
    </row>
    <row r="593" ht="15.75" customHeight="1">
      <c r="A593" s="48"/>
      <c r="B593" s="44"/>
      <c r="C593" s="31" t="str">
        <f t="array" ref="C593">IF(B593="","",IFERROR(INDEX(Listas!$Q$5:$Q$20,MATCH(B593,Listas!$P$5:$P$20,0)),""))</f>
        <v/>
      </c>
      <c r="D593" s="44"/>
      <c r="E593" s="44"/>
      <c r="F593" s="44"/>
      <c r="G593" s="44"/>
      <c r="H593" s="44"/>
      <c r="I593" s="49"/>
      <c r="J593" s="47"/>
      <c r="K593" s="50"/>
      <c r="L593" s="43" t="str">
        <f t="shared" si="1"/>
        <v/>
      </c>
      <c r="M593" s="44"/>
    </row>
    <row r="594" ht="15.75" customHeight="1">
      <c r="A594" s="48"/>
      <c r="B594" s="44"/>
      <c r="C594" s="31" t="str">
        <f t="array" ref="C594">IF(B594="","",IFERROR(INDEX(Listas!$Q$5:$Q$20,MATCH(B594,Listas!$P$5:$P$20,0)),""))</f>
        <v/>
      </c>
      <c r="D594" s="44"/>
      <c r="E594" s="44"/>
      <c r="F594" s="44"/>
      <c r="G594" s="44"/>
      <c r="H594" s="44"/>
      <c r="I594" s="49"/>
      <c r="J594" s="47"/>
      <c r="K594" s="50"/>
      <c r="L594" s="43" t="str">
        <f t="shared" si="1"/>
        <v/>
      </c>
      <c r="M594" s="44"/>
    </row>
    <row r="595" ht="15.75" customHeight="1">
      <c r="A595" s="48"/>
      <c r="B595" s="44"/>
      <c r="C595" s="31" t="str">
        <f t="array" ref="C595">IF(B595="","",IFERROR(INDEX(Listas!$Q$5:$Q$20,MATCH(B595,Listas!$P$5:$P$20,0)),""))</f>
        <v/>
      </c>
      <c r="D595" s="44"/>
      <c r="E595" s="44"/>
      <c r="F595" s="44"/>
      <c r="G595" s="44"/>
      <c r="H595" s="44"/>
      <c r="I595" s="49"/>
      <c r="J595" s="47"/>
      <c r="K595" s="50"/>
      <c r="L595" s="43" t="str">
        <f t="shared" si="1"/>
        <v/>
      </c>
      <c r="M595" s="44"/>
    </row>
    <row r="596" ht="15.75" customHeight="1">
      <c r="A596" s="48"/>
      <c r="B596" s="44"/>
      <c r="C596" s="31" t="str">
        <f t="array" ref="C596">IF(B596="","",IFERROR(INDEX(Listas!$Q$5:$Q$20,MATCH(B596,Listas!$P$5:$P$20,0)),""))</f>
        <v/>
      </c>
      <c r="D596" s="44"/>
      <c r="E596" s="44"/>
      <c r="F596" s="44"/>
      <c r="G596" s="44"/>
      <c r="H596" s="44"/>
      <c r="I596" s="49"/>
      <c r="J596" s="47"/>
      <c r="K596" s="50"/>
      <c r="L596" s="43" t="str">
        <f t="shared" si="1"/>
        <v/>
      </c>
      <c r="M596" s="44"/>
    </row>
    <row r="597" ht="15.75" customHeight="1">
      <c r="A597" s="48"/>
      <c r="B597" s="44"/>
      <c r="C597" s="31" t="str">
        <f t="array" ref="C597">IF(B597="","",IFERROR(INDEX(Listas!$Q$5:$Q$20,MATCH(B597,Listas!$P$5:$P$20,0)),""))</f>
        <v/>
      </c>
      <c r="D597" s="44"/>
      <c r="E597" s="44"/>
      <c r="F597" s="44"/>
      <c r="G597" s="44"/>
      <c r="H597" s="44"/>
      <c r="I597" s="49"/>
      <c r="J597" s="47"/>
      <c r="K597" s="50"/>
      <c r="L597" s="43" t="str">
        <f t="shared" si="1"/>
        <v/>
      </c>
      <c r="M597" s="44"/>
    </row>
    <row r="598" ht="15.75" customHeight="1">
      <c r="A598" s="48"/>
      <c r="B598" s="44"/>
      <c r="C598" s="31" t="str">
        <f t="array" ref="C598">IF(B598="","",IFERROR(INDEX(Listas!$Q$5:$Q$20,MATCH(B598,Listas!$P$5:$P$20,0)),""))</f>
        <v/>
      </c>
      <c r="D598" s="44"/>
      <c r="E598" s="44"/>
      <c r="F598" s="44"/>
      <c r="G598" s="44"/>
      <c r="H598" s="44"/>
      <c r="I598" s="49"/>
      <c r="J598" s="47"/>
      <c r="K598" s="50"/>
      <c r="L598" s="43" t="str">
        <f t="shared" si="1"/>
        <v/>
      </c>
      <c r="M598" s="44"/>
    </row>
    <row r="599" ht="15.75" customHeight="1">
      <c r="A599" s="48"/>
      <c r="B599" s="44"/>
      <c r="C599" s="31" t="str">
        <f t="array" ref="C599">IF(B599="","",IFERROR(INDEX(Listas!$Q$5:$Q$20,MATCH(B599,Listas!$P$5:$P$20,0)),""))</f>
        <v/>
      </c>
      <c r="D599" s="44"/>
      <c r="E599" s="44"/>
      <c r="F599" s="44"/>
      <c r="G599" s="44"/>
      <c r="H599" s="44"/>
      <c r="I599" s="49"/>
      <c r="J599" s="47"/>
      <c r="K599" s="50"/>
      <c r="L599" s="43" t="str">
        <f t="shared" si="1"/>
        <v/>
      </c>
      <c r="M599" s="44"/>
    </row>
    <row r="600" ht="15.75" customHeight="1">
      <c r="A600" s="48"/>
      <c r="B600" s="44"/>
      <c r="C600" s="31" t="str">
        <f t="array" ref="C600">IF(B600="","",IFERROR(INDEX(Listas!$Q$5:$Q$20,MATCH(B600,Listas!$P$5:$P$20,0)),""))</f>
        <v/>
      </c>
      <c r="D600" s="44"/>
      <c r="E600" s="44"/>
      <c r="F600" s="44"/>
      <c r="G600" s="44"/>
      <c r="H600" s="44"/>
      <c r="I600" s="49"/>
      <c r="J600" s="47"/>
      <c r="K600" s="50"/>
      <c r="L600" s="43" t="str">
        <f t="shared" si="1"/>
        <v/>
      </c>
      <c r="M600" s="44"/>
    </row>
    <row r="601" ht="15.75" customHeight="1">
      <c r="A601" s="48"/>
      <c r="B601" s="44"/>
      <c r="C601" s="31" t="str">
        <f t="array" ref="C601">IF(B601="","",IFERROR(INDEX(Listas!$Q$5:$Q$20,MATCH(B601,Listas!$P$5:$P$20,0)),""))</f>
        <v/>
      </c>
      <c r="D601" s="44"/>
      <c r="E601" s="44"/>
      <c r="F601" s="44"/>
      <c r="G601" s="44"/>
      <c r="H601" s="44"/>
      <c r="I601" s="49"/>
      <c r="J601" s="47"/>
      <c r="K601" s="50"/>
      <c r="L601" s="43" t="str">
        <f t="shared" si="1"/>
        <v/>
      </c>
      <c r="M601" s="44"/>
    </row>
    <row r="602" ht="15.75" customHeight="1">
      <c r="A602" s="48"/>
      <c r="B602" s="44"/>
      <c r="C602" s="31" t="str">
        <f t="array" ref="C602">IF(B602="","",IFERROR(INDEX(Listas!$Q$5:$Q$20,MATCH(B602,Listas!$P$5:$P$20,0)),""))</f>
        <v/>
      </c>
      <c r="D602" s="44"/>
      <c r="E602" s="44"/>
      <c r="F602" s="44"/>
      <c r="G602" s="44"/>
      <c r="H602" s="44"/>
      <c r="I602" s="49"/>
      <c r="J602" s="47"/>
      <c r="K602" s="50"/>
      <c r="L602" s="43" t="str">
        <f t="shared" si="1"/>
        <v/>
      </c>
      <c r="M602" s="44"/>
    </row>
    <row r="603" ht="15.75" customHeight="1">
      <c r="A603" s="48"/>
      <c r="B603" s="44"/>
      <c r="C603" s="31" t="str">
        <f t="array" ref="C603">IF(B603="","",IFERROR(INDEX(Listas!$Q$5:$Q$20,MATCH(B603,Listas!$P$5:$P$20,0)),""))</f>
        <v/>
      </c>
      <c r="D603" s="44"/>
      <c r="E603" s="44"/>
      <c r="F603" s="44"/>
      <c r="G603" s="44"/>
      <c r="H603" s="44"/>
      <c r="I603" s="49"/>
      <c r="J603" s="47"/>
      <c r="K603" s="50"/>
      <c r="L603" s="43" t="str">
        <f t="shared" si="1"/>
        <v/>
      </c>
      <c r="M603" s="44"/>
    </row>
    <row r="604" ht="15.75" customHeight="1">
      <c r="A604" s="48"/>
      <c r="B604" s="44"/>
      <c r="C604" s="31" t="str">
        <f t="array" ref="C604">IF(B604="","",IFERROR(INDEX(Listas!$Q$5:$Q$20,MATCH(B604,Listas!$P$5:$P$20,0)),""))</f>
        <v/>
      </c>
      <c r="D604" s="44"/>
      <c r="E604" s="44"/>
      <c r="F604" s="44"/>
      <c r="G604" s="44"/>
      <c r="H604" s="44"/>
      <c r="I604" s="49"/>
      <c r="J604" s="47"/>
      <c r="K604" s="50"/>
      <c r="L604" s="43" t="str">
        <f t="shared" si="1"/>
        <v/>
      </c>
      <c r="M604" s="44"/>
    </row>
    <row r="605" ht="15.75" customHeight="1">
      <c r="A605" s="48"/>
      <c r="B605" s="44"/>
      <c r="C605" s="31" t="str">
        <f t="array" ref="C605">IF(B605="","",IFERROR(INDEX(Listas!$Q$5:$Q$20,MATCH(B605,Listas!$P$5:$P$20,0)),""))</f>
        <v/>
      </c>
      <c r="D605" s="44"/>
      <c r="E605" s="44"/>
      <c r="F605" s="44"/>
      <c r="G605" s="44"/>
      <c r="H605" s="44"/>
      <c r="I605" s="49"/>
      <c r="J605" s="47"/>
      <c r="K605" s="50"/>
      <c r="L605" s="43" t="str">
        <f t="shared" si="1"/>
        <v/>
      </c>
      <c r="M605" s="44"/>
    </row>
    <row r="606" ht="15.75" customHeight="1">
      <c r="A606" s="48"/>
      <c r="B606" s="44"/>
      <c r="C606" s="31" t="str">
        <f t="array" ref="C606">IF(B606="","",IFERROR(INDEX(Listas!$Q$5:$Q$20,MATCH(B606,Listas!$P$5:$P$20,0)),""))</f>
        <v/>
      </c>
      <c r="D606" s="44"/>
      <c r="E606" s="44"/>
      <c r="F606" s="44"/>
      <c r="G606" s="44"/>
      <c r="H606" s="44"/>
      <c r="I606" s="49"/>
      <c r="J606" s="47"/>
      <c r="K606" s="50"/>
      <c r="L606" s="43" t="str">
        <f t="shared" si="1"/>
        <v/>
      </c>
      <c r="M606" s="44"/>
    </row>
    <row r="607" ht="15.75" customHeight="1">
      <c r="A607" s="48"/>
      <c r="B607" s="44"/>
      <c r="C607" s="31" t="str">
        <f t="array" ref="C607">IF(B607="","",IFERROR(INDEX(Listas!$Q$5:$Q$20,MATCH(B607,Listas!$P$5:$P$20,0)),""))</f>
        <v/>
      </c>
      <c r="D607" s="44"/>
      <c r="E607" s="44"/>
      <c r="F607" s="44"/>
      <c r="G607" s="44"/>
      <c r="H607" s="44"/>
      <c r="I607" s="49"/>
      <c r="J607" s="47"/>
      <c r="K607" s="50"/>
      <c r="L607" s="43" t="str">
        <f t="shared" si="1"/>
        <v/>
      </c>
      <c r="M607" s="44"/>
    </row>
    <row r="608" ht="15.75" customHeight="1">
      <c r="A608" s="48"/>
      <c r="B608" s="44"/>
      <c r="C608" s="31" t="str">
        <f t="array" ref="C608">IF(B608="","",IFERROR(INDEX(Listas!$Q$5:$Q$20,MATCH(B608,Listas!$P$5:$P$20,0)),""))</f>
        <v/>
      </c>
      <c r="D608" s="44"/>
      <c r="E608" s="44"/>
      <c r="F608" s="44"/>
      <c r="G608" s="44"/>
      <c r="H608" s="44"/>
      <c r="I608" s="49"/>
      <c r="J608" s="47"/>
      <c r="K608" s="50"/>
      <c r="L608" s="43" t="str">
        <f t="shared" si="1"/>
        <v/>
      </c>
      <c r="M608" s="44"/>
    </row>
    <row r="609" ht="15.75" customHeight="1">
      <c r="A609" s="48"/>
      <c r="B609" s="44"/>
      <c r="C609" s="31" t="str">
        <f t="array" ref="C609">IF(B609="","",IFERROR(INDEX(Listas!$Q$5:$Q$20,MATCH(B609,Listas!$P$5:$P$20,0)),""))</f>
        <v/>
      </c>
      <c r="D609" s="44"/>
      <c r="E609" s="44"/>
      <c r="F609" s="44"/>
      <c r="G609" s="44"/>
      <c r="H609" s="44"/>
      <c r="I609" s="49"/>
      <c r="J609" s="47"/>
      <c r="K609" s="50"/>
      <c r="L609" s="43" t="str">
        <f t="shared" si="1"/>
        <v/>
      </c>
      <c r="M609" s="44"/>
    </row>
    <row r="610" ht="15.75" customHeight="1">
      <c r="A610" s="48"/>
      <c r="B610" s="44"/>
      <c r="C610" s="31" t="str">
        <f t="array" ref="C610">IF(B610="","",IFERROR(INDEX(Listas!$Q$5:$Q$20,MATCH(B610,Listas!$P$5:$P$20,0)),""))</f>
        <v/>
      </c>
      <c r="D610" s="44"/>
      <c r="E610" s="44"/>
      <c r="F610" s="44"/>
      <c r="G610" s="44"/>
      <c r="H610" s="44"/>
      <c r="I610" s="49"/>
      <c r="J610" s="47"/>
      <c r="K610" s="50"/>
      <c r="L610" s="43" t="str">
        <f t="shared" si="1"/>
        <v/>
      </c>
      <c r="M610" s="44"/>
    </row>
    <row r="611" ht="15.75" customHeight="1">
      <c r="A611" s="48"/>
      <c r="B611" s="44"/>
      <c r="C611" s="31" t="str">
        <f t="array" ref="C611">IF(B611="","",IFERROR(INDEX(Listas!$Q$5:$Q$20,MATCH(B611,Listas!$P$5:$P$20,0)),""))</f>
        <v/>
      </c>
      <c r="D611" s="44"/>
      <c r="E611" s="44"/>
      <c r="F611" s="44"/>
      <c r="G611" s="44"/>
      <c r="H611" s="44"/>
      <c r="I611" s="49"/>
      <c r="J611" s="47"/>
      <c r="K611" s="50"/>
      <c r="L611" s="43" t="str">
        <f t="shared" si="1"/>
        <v/>
      </c>
      <c r="M611" s="44"/>
    </row>
    <row r="612" ht="15.75" customHeight="1">
      <c r="A612" s="48"/>
      <c r="B612" s="44"/>
      <c r="C612" s="31" t="str">
        <f t="array" ref="C612">IF(B612="","",IFERROR(INDEX(Listas!$Q$5:$Q$20,MATCH(B612,Listas!$P$5:$P$20,0)),""))</f>
        <v/>
      </c>
      <c r="D612" s="44"/>
      <c r="E612" s="44"/>
      <c r="F612" s="44"/>
      <c r="G612" s="44"/>
      <c r="H612" s="44"/>
      <c r="I612" s="49"/>
      <c r="J612" s="47"/>
      <c r="K612" s="50"/>
      <c r="L612" s="43" t="str">
        <f t="shared" si="1"/>
        <v/>
      </c>
      <c r="M612" s="44"/>
    </row>
    <row r="613" ht="15.75" customHeight="1">
      <c r="A613" s="48"/>
      <c r="B613" s="44"/>
      <c r="C613" s="31" t="str">
        <f t="array" ref="C613">IF(B613="","",IFERROR(INDEX(Listas!$Q$5:$Q$20,MATCH(B613,Listas!$P$5:$P$20,0)),""))</f>
        <v/>
      </c>
      <c r="D613" s="44"/>
      <c r="E613" s="44"/>
      <c r="F613" s="44"/>
      <c r="G613" s="44"/>
      <c r="H613" s="44"/>
      <c r="I613" s="49"/>
      <c r="J613" s="47"/>
      <c r="K613" s="50"/>
      <c r="L613" s="43" t="str">
        <f t="shared" si="1"/>
        <v/>
      </c>
      <c r="M613" s="44"/>
    </row>
    <row r="614" ht="15.75" customHeight="1">
      <c r="A614" s="48"/>
      <c r="B614" s="44"/>
      <c r="C614" s="31" t="str">
        <f t="array" ref="C614">IF(B614="","",IFERROR(INDEX(Listas!$Q$5:$Q$20,MATCH(B614,Listas!$P$5:$P$20,0)),""))</f>
        <v/>
      </c>
      <c r="D614" s="44"/>
      <c r="E614" s="44"/>
      <c r="F614" s="44"/>
      <c r="G614" s="44"/>
      <c r="H614" s="44"/>
      <c r="I614" s="49"/>
      <c r="J614" s="47"/>
      <c r="K614" s="50"/>
      <c r="L614" s="43" t="str">
        <f t="shared" si="1"/>
        <v/>
      </c>
      <c r="M614" s="44"/>
    </row>
    <row r="615" ht="15.75" customHeight="1">
      <c r="A615" s="48"/>
      <c r="B615" s="44"/>
      <c r="C615" s="31" t="str">
        <f t="array" ref="C615">IF(B615="","",IFERROR(INDEX(Listas!$Q$5:$Q$20,MATCH(B615,Listas!$P$5:$P$20,0)),""))</f>
        <v/>
      </c>
      <c r="D615" s="44"/>
      <c r="E615" s="44"/>
      <c r="F615" s="44"/>
      <c r="G615" s="44"/>
      <c r="H615" s="44"/>
      <c r="I615" s="49"/>
      <c r="J615" s="47"/>
      <c r="K615" s="50"/>
      <c r="L615" s="43" t="str">
        <f t="shared" si="1"/>
        <v/>
      </c>
      <c r="M615" s="44"/>
    </row>
    <row r="616" ht="15.75" customHeight="1">
      <c r="A616" s="48"/>
      <c r="B616" s="44"/>
      <c r="C616" s="31" t="str">
        <f t="array" ref="C616">IF(B616="","",IFERROR(INDEX(Listas!$Q$5:$Q$20,MATCH(B616,Listas!$P$5:$P$20,0)),""))</f>
        <v/>
      </c>
      <c r="D616" s="44"/>
      <c r="E616" s="44"/>
      <c r="F616" s="44"/>
      <c r="G616" s="44"/>
      <c r="H616" s="44"/>
      <c r="I616" s="49"/>
      <c r="J616" s="47"/>
      <c r="K616" s="50"/>
      <c r="L616" s="43" t="str">
        <f t="shared" si="1"/>
        <v/>
      </c>
      <c r="M616" s="44"/>
    </row>
    <row r="617" ht="15.75" customHeight="1">
      <c r="A617" s="48"/>
      <c r="B617" s="44"/>
      <c r="C617" s="31" t="str">
        <f t="array" ref="C617">IF(B617="","",IFERROR(INDEX(Listas!$Q$5:$Q$20,MATCH(B617,Listas!$P$5:$P$20,0)),""))</f>
        <v/>
      </c>
      <c r="D617" s="44"/>
      <c r="E617" s="44"/>
      <c r="F617" s="44"/>
      <c r="G617" s="44"/>
      <c r="H617" s="44"/>
      <c r="I617" s="49"/>
      <c r="J617" s="47"/>
      <c r="K617" s="50"/>
      <c r="L617" s="43" t="str">
        <f t="shared" si="1"/>
        <v/>
      </c>
      <c r="M617" s="44"/>
    </row>
    <row r="618" ht="15.75" customHeight="1">
      <c r="A618" s="48"/>
      <c r="B618" s="44"/>
      <c r="C618" s="31" t="str">
        <f t="array" ref="C618">IF(B618="","",IFERROR(INDEX(Listas!$Q$5:$Q$20,MATCH(B618,Listas!$P$5:$P$20,0)),""))</f>
        <v/>
      </c>
      <c r="D618" s="44"/>
      <c r="E618" s="44"/>
      <c r="F618" s="44"/>
      <c r="G618" s="44"/>
      <c r="H618" s="44"/>
      <c r="I618" s="49"/>
      <c r="J618" s="47"/>
      <c r="K618" s="50"/>
      <c r="L618" s="43" t="str">
        <f t="shared" si="1"/>
        <v/>
      </c>
      <c r="M618" s="44"/>
    </row>
    <row r="619" ht="15.75" customHeight="1">
      <c r="A619" s="48"/>
      <c r="B619" s="44"/>
      <c r="C619" s="31" t="str">
        <f t="array" ref="C619">IF(B619="","",IFERROR(INDEX(Listas!$Q$5:$Q$20,MATCH(B619,Listas!$P$5:$P$20,0)),""))</f>
        <v/>
      </c>
      <c r="D619" s="44"/>
      <c r="E619" s="44"/>
      <c r="F619" s="44"/>
      <c r="G619" s="44"/>
      <c r="H619" s="44"/>
      <c r="I619" s="49"/>
      <c r="J619" s="47"/>
      <c r="K619" s="50"/>
      <c r="L619" s="43" t="str">
        <f t="shared" si="1"/>
        <v/>
      </c>
      <c r="M619" s="44"/>
    </row>
    <row r="620" ht="15.75" customHeight="1">
      <c r="A620" s="48"/>
      <c r="B620" s="44"/>
      <c r="C620" s="31" t="str">
        <f t="array" ref="C620">IF(B620="","",IFERROR(INDEX(Listas!$Q$5:$Q$20,MATCH(B620,Listas!$P$5:$P$20,0)),""))</f>
        <v/>
      </c>
      <c r="D620" s="44"/>
      <c r="E620" s="44"/>
      <c r="F620" s="44"/>
      <c r="G620" s="44"/>
      <c r="H620" s="44"/>
      <c r="I620" s="49"/>
      <c r="J620" s="47"/>
      <c r="K620" s="50"/>
      <c r="L620" s="43" t="str">
        <f t="shared" si="1"/>
        <v/>
      </c>
      <c r="M620" s="44"/>
    </row>
    <row r="621" ht="15.75" customHeight="1">
      <c r="A621" s="48"/>
      <c r="B621" s="44"/>
      <c r="C621" s="31" t="str">
        <f t="array" ref="C621">IF(B621="","",IFERROR(INDEX(Listas!$Q$5:$Q$20,MATCH(B621,Listas!$P$5:$P$20,0)),""))</f>
        <v/>
      </c>
      <c r="D621" s="44"/>
      <c r="E621" s="44"/>
      <c r="F621" s="44"/>
      <c r="G621" s="44"/>
      <c r="H621" s="44"/>
      <c r="I621" s="49"/>
      <c r="J621" s="47"/>
      <c r="K621" s="50"/>
      <c r="L621" s="43" t="str">
        <f t="shared" si="1"/>
        <v/>
      </c>
      <c r="M621" s="44"/>
    </row>
    <row r="622" ht="15.75" customHeight="1">
      <c r="A622" s="48"/>
      <c r="B622" s="44"/>
      <c r="C622" s="31" t="str">
        <f t="array" ref="C622">IF(B622="","",IFERROR(INDEX(Listas!$Q$5:$Q$20,MATCH(B622,Listas!$P$5:$P$20,0)),""))</f>
        <v/>
      </c>
      <c r="D622" s="44"/>
      <c r="E622" s="44"/>
      <c r="F622" s="44"/>
      <c r="G622" s="44"/>
      <c r="H622" s="44"/>
      <c r="I622" s="49"/>
      <c r="J622" s="47"/>
      <c r="K622" s="50"/>
      <c r="L622" s="43" t="str">
        <f t="shared" si="1"/>
        <v/>
      </c>
      <c r="M622" s="44"/>
    </row>
    <row r="623" ht="15.75" customHeight="1">
      <c r="A623" s="48"/>
      <c r="B623" s="44"/>
      <c r="C623" s="31" t="str">
        <f t="array" ref="C623">IF(B623="","",IFERROR(INDEX(Listas!$Q$5:$Q$20,MATCH(B623,Listas!$P$5:$P$20,0)),""))</f>
        <v/>
      </c>
      <c r="D623" s="44"/>
      <c r="E623" s="44"/>
      <c r="F623" s="44"/>
      <c r="G623" s="44"/>
      <c r="H623" s="44"/>
      <c r="I623" s="49"/>
      <c r="J623" s="47"/>
      <c r="K623" s="50"/>
      <c r="L623" s="43" t="str">
        <f t="shared" si="1"/>
        <v/>
      </c>
      <c r="M623" s="44"/>
    </row>
    <row r="624" ht="15.75" customHeight="1">
      <c r="A624" s="48"/>
      <c r="B624" s="44"/>
      <c r="C624" s="31" t="str">
        <f t="array" ref="C624">IF(B624="","",IFERROR(INDEX(Listas!$Q$5:$Q$20,MATCH(B624,Listas!$P$5:$P$20,0)),""))</f>
        <v/>
      </c>
      <c r="D624" s="44"/>
      <c r="E624" s="44"/>
      <c r="F624" s="44"/>
      <c r="G624" s="44"/>
      <c r="H624" s="44"/>
      <c r="I624" s="49"/>
      <c r="J624" s="47"/>
      <c r="K624" s="50"/>
      <c r="L624" s="43" t="str">
        <f t="shared" si="1"/>
        <v/>
      </c>
      <c r="M624" s="44"/>
    </row>
    <row r="625" ht="15.75" customHeight="1">
      <c r="A625" s="48"/>
      <c r="B625" s="44"/>
      <c r="C625" s="31" t="str">
        <f t="array" ref="C625">IF(B625="","",IFERROR(INDEX(Listas!$Q$5:$Q$20,MATCH(B625,Listas!$P$5:$P$20,0)),""))</f>
        <v/>
      </c>
      <c r="D625" s="44"/>
      <c r="E625" s="44"/>
      <c r="F625" s="44"/>
      <c r="G625" s="44"/>
      <c r="H625" s="44"/>
      <c r="I625" s="49"/>
      <c r="J625" s="47"/>
      <c r="K625" s="50"/>
      <c r="L625" s="43" t="str">
        <f t="shared" si="1"/>
        <v/>
      </c>
      <c r="M625" s="44"/>
    </row>
    <row r="626" ht="15.75" customHeight="1">
      <c r="A626" s="48"/>
      <c r="B626" s="44"/>
      <c r="C626" s="31" t="str">
        <f t="array" ref="C626">IF(B626="","",IFERROR(INDEX(Listas!$Q$5:$Q$20,MATCH(B626,Listas!$P$5:$P$20,0)),""))</f>
        <v/>
      </c>
      <c r="D626" s="44"/>
      <c r="E626" s="44"/>
      <c r="F626" s="44"/>
      <c r="G626" s="44"/>
      <c r="H626" s="44"/>
      <c r="I626" s="49"/>
      <c r="J626" s="47"/>
      <c r="K626" s="50"/>
      <c r="L626" s="43" t="str">
        <f t="shared" si="1"/>
        <v/>
      </c>
      <c r="M626" s="44"/>
    </row>
    <row r="627" ht="15.75" customHeight="1">
      <c r="A627" s="48"/>
      <c r="B627" s="44"/>
      <c r="C627" s="31" t="str">
        <f t="array" ref="C627">IF(B627="","",IFERROR(INDEX(Listas!$Q$5:$Q$20,MATCH(B627,Listas!$P$5:$P$20,0)),""))</f>
        <v/>
      </c>
      <c r="D627" s="44"/>
      <c r="E627" s="44"/>
      <c r="F627" s="44"/>
      <c r="G627" s="44"/>
      <c r="H627" s="44"/>
      <c r="I627" s="49"/>
      <c r="J627" s="47"/>
      <c r="K627" s="50"/>
      <c r="L627" s="43" t="str">
        <f t="shared" si="1"/>
        <v/>
      </c>
      <c r="M627" s="44"/>
    </row>
    <row r="628" ht="15.75" customHeight="1">
      <c r="A628" s="48"/>
      <c r="B628" s="44"/>
      <c r="C628" s="31" t="str">
        <f t="array" ref="C628">IF(B628="","",IFERROR(INDEX(Listas!$Q$5:$Q$20,MATCH(B628,Listas!$P$5:$P$20,0)),""))</f>
        <v/>
      </c>
      <c r="D628" s="44"/>
      <c r="E628" s="44"/>
      <c r="F628" s="44"/>
      <c r="G628" s="44"/>
      <c r="H628" s="44"/>
      <c r="I628" s="49"/>
      <c r="J628" s="47"/>
      <c r="K628" s="50"/>
      <c r="L628" s="43" t="str">
        <f t="shared" si="1"/>
        <v/>
      </c>
      <c r="M628" s="44"/>
    </row>
    <row r="629" ht="15.75" customHeight="1">
      <c r="A629" s="48"/>
      <c r="B629" s="44"/>
      <c r="C629" s="31" t="str">
        <f t="array" ref="C629">IF(B629="","",IFERROR(INDEX(Listas!$Q$5:$Q$20,MATCH(B629,Listas!$P$5:$P$20,0)),""))</f>
        <v/>
      </c>
      <c r="D629" s="44"/>
      <c r="E629" s="44"/>
      <c r="F629" s="44"/>
      <c r="G629" s="44"/>
      <c r="H629" s="44"/>
      <c r="I629" s="49"/>
      <c r="J629" s="47"/>
      <c r="K629" s="50"/>
      <c r="L629" s="43" t="str">
        <f t="shared" si="1"/>
        <v/>
      </c>
      <c r="M629" s="44"/>
    </row>
    <row r="630" ht="15.75" customHeight="1">
      <c r="A630" s="48"/>
      <c r="B630" s="44"/>
      <c r="C630" s="31" t="str">
        <f t="array" ref="C630">IF(B630="","",IFERROR(INDEX(Listas!$Q$5:$Q$20,MATCH(B630,Listas!$P$5:$P$20,0)),""))</f>
        <v/>
      </c>
      <c r="D630" s="44"/>
      <c r="E630" s="44"/>
      <c r="F630" s="44"/>
      <c r="G630" s="44"/>
      <c r="H630" s="44"/>
      <c r="I630" s="49"/>
      <c r="J630" s="47"/>
      <c r="K630" s="50"/>
      <c r="L630" s="43" t="str">
        <f t="shared" si="1"/>
        <v/>
      </c>
      <c r="M630" s="44"/>
    </row>
    <row r="631" ht="15.75" customHeight="1">
      <c r="A631" s="48"/>
      <c r="B631" s="44"/>
      <c r="C631" s="31" t="str">
        <f t="array" ref="C631">IF(B631="","",IFERROR(INDEX(Listas!$Q$5:$Q$20,MATCH(B631,Listas!$P$5:$P$20,0)),""))</f>
        <v/>
      </c>
      <c r="D631" s="44"/>
      <c r="E631" s="44"/>
      <c r="F631" s="44"/>
      <c r="G631" s="44"/>
      <c r="H631" s="44"/>
      <c r="I631" s="49"/>
      <c r="J631" s="47"/>
      <c r="K631" s="50"/>
      <c r="L631" s="43" t="str">
        <f t="shared" si="1"/>
        <v/>
      </c>
      <c r="M631" s="44"/>
    </row>
    <row r="632" ht="15.75" customHeight="1">
      <c r="A632" s="48"/>
      <c r="B632" s="44"/>
      <c r="C632" s="31" t="str">
        <f t="array" ref="C632">IF(B632="","",IFERROR(INDEX(Listas!$Q$5:$Q$20,MATCH(B632,Listas!$P$5:$P$20,0)),""))</f>
        <v/>
      </c>
      <c r="D632" s="44"/>
      <c r="E632" s="44"/>
      <c r="F632" s="44"/>
      <c r="G632" s="44"/>
      <c r="H632" s="44"/>
      <c r="I632" s="49"/>
      <c r="J632" s="47"/>
      <c r="K632" s="50"/>
      <c r="L632" s="43" t="str">
        <f t="shared" si="1"/>
        <v/>
      </c>
      <c r="M632" s="44"/>
    </row>
    <row r="633" ht="15.75" customHeight="1">
      <c r="A633" s="48"/>
      <c r="B633" s="44"/>
      <c r="C633" s="31" t="str">
        <f t="array" ref="C633">IF(B633="","",IFERROR(INDEX(Listas!$Q$5:$Q$20,MATCH(B633,Listas!$P$5:$P$20,0)),""))</f>
        <v/>
      </c>
      <c r="D633" s="44"/>
      <c r="E633" s="44"/>
      <c r="F633" s="44"/>
      <c r="G633" s="44"/>
      <c r="H633" s="44"/>
      <c r="I633" s="49"/>
      <c r="J633" s="47"/>
      <c r="K633" s="50"/>
      <c r="L633" s="43" t="str">
        <f t="shared" si="1"/>
        <v/>
      </c>
      <c r="M633" s="44"/>
    </row>
    <row r="634" ht="15.75" customHeight="1">
      <c r="A634" s="48"/>
      <c r="B634" s="44"/>
      <c r="C634" s="31" t="str">
        <f t="array" ref="C634">IF(B634="","",IFERROR(INDEX(Listas!$Q$5:$Q$20,MATCH(B634,Listas!$P$5:$P$20,0)),""))</f>
        <v/>
      </c>
      <c r="D634" s="44"/>
      <c r="E634" s="44"/>
      <c r="F634" s="44"/>
      <c r="G634" s="44"/>
      <c r="H634" s="44"/>
      <c r="I634" s="49"/>
      <c r="J634" s="47"/>
      <c r="K634" s="50"/>
      <c r="L634" s="43" t="str">
        <f t="shared" si="1"/>
        <v/>
      </c>
      <c r="M634" s="44"/>
    </row>
    <row r="635" ht="15.75" customHeight="1">
      <c r="A635" s="48"/>
      <c r="B635" s="44"/>
      <c r="C635" s="31" t="str">
        <f t="array" ref="C635">IF(B635="","",IFERROR(INDEX(Listas!$Q$5:$Q$20,MATCH(B635,Listas!$P$5:$P$20,0)),""))</f>
        <v/>
      </c>
      <c r="D635" s="44"/>
      <c r="E635" s="44"/>
      <c r="F635" s="44"/>
      <c r="G635" s="44"/>
      <c r="H635" s="44"/>
      <c r="I635" s="49"/>
      <c r="J635" s="47"/>
      <c r="K635" s="50"/>
      <c r="L635" s="43" t="str">
        <f t="shared" si="1"/>
        <v/>
      </c>
      <c r="M635" s="44"/>
    </row>
    <row r="636" ht="15.75" customHeight="1">
      <c r="A636" s="48"/>
      <c r="B636" s="44"/>
      <c r="C636" s="31" t="str">
        <f t="array" ref="C636">IF(B636="","",IFERROR(INDEX(Listas!$Q$5:$Q$20,MATCH(B636,Listas!$P$5:$P$20,0)),""))</f>
        <v/>
      </c>
      <c r="D636" s="44"/>
      <c r="E636" s="44"/>
      <c r="F636" s="44"/>
      <c r="G636" s="44"/>
      <c r="H636" s="44"/>
      <c r="I636" s="49"/>
      <c r="J636" s="47"/>
      <c r="K636" s="50"/>
      <c r="L636" s="43" t="str">
        <f t="shared" si="1"/>
        <v/>
      </c>
      <c r="M636" s="44"/>
    </row>
    <row r="637" ht="15.75" customHeight="1">
      <c r="A637" s="48"/>
      <c r="B637" s="44"/>
      <c r="C637" s="31" t="str">
        <f t="array" ref="C637">IF(B637="","",IFERROR(INDEX(Listas!$Q$5:$Q$20,MATCH(B637,Listas!$P$5:$P$20,0)),""))</f>
        <v/>
      </c>
      <c r="D637" s="44"/>
      <c r="E637" s="44"/>
      <c r="F637" s="44"/>
      <c r="G637" s="44"/>
      <c r="H637" s="44"/>
      <c r="I637" s="49"/>
      <c r="J637" s="47"/>
      <c r="K637" s="50"/>
      <c r="L637" s="43" t="str">
        <f t="shared" si="1"/>
        <v/>
      </c>
      <c r="M637" s="44"/>
    </row>
    <row r="638" ht="15.75" customHeight="1">
      <c r="A638" s="48"/>
      <c r="B638" s="44"/>
      <c r="C638" s="31" t="str">
        <f t="array" ref="C638">IF(B638="","",IFERROR(INDEX(Listas!$Q$5:$Q$20,MATCH(B638,Listas!$P$5:$P$20,0)),""))</f>
        <v/>
      </c>
      <c r="D638" s="44"/>
      <c r="E638" s="44"/>
      <c r="F638" s="44"/>
      <c r="G638" s="44"/>
      <c r="H638" s="44"/>
      <c r="I638" s="49"/>
      <c r="J638" s="47"/>
      <c r="K638" s="50"/>
      <c r="L638" s="43" t="str">
        <f t="shared" si="1"/>
        <v/>
      </c>
      <c r="M638" s="44"/>
    </row>
    <row r="639" ht="15.75" customHeight="1">
      <c r="A639" s="48"/>
      <c r="B639" s="44"/>
      <c r="C639" s="31" t="str">
        <f t="array" ref="C639">IF(B639="","",IFERROR(INDEX(Listas!$Q$5:$Q$20,MATCH(B639,Listas!$P$5:$P$20,0)),""))</f>
        <v/>
      </c>
      <c r="D639" s="44"/>
      <c r="E639" s="44"/>
      <c r="F639" s="44"/>
      <c r="G639" s="44"/>
      <c r="H639" s="44"/>
      <c r="I639" s="49"/>
      <c r="J639" s="47"/>
      <c r="K639" s="50"/>
      <c r="L639" s="43" t="str">
        <f t="shared" si="1"/>
        <v/>
      </c>
      <c r="M639" s="44"/>
    </row>
    <row r="640" ht="15.75" customHeight="1">
      <c r="A640" s="48"/>
      <c r="B640" s="44"/>
      <c r="C640" s="31" t="str">
        <f t="array" ref="C640">IF(B640="","",IFERROR(INDEX(Listas!$Q$5:$Q$20,MATCH(B640,Listas!$P$5:$P$20,0)),""))</f>
        <v/>
      </c>
      <c r="D640" s="44"/>
      <c r="E640" s="44"/>
      <c r="F640" s="44"/>
      <c r="G640" s="44"/>
      <c r="H640" s="44"/>
      <c r="I640" s="49"/>
      <c r="J640" s="47"/>
      <c r="K640" s="50"/>
      <c r="L640" s="43" t="str">
        <f t="shared" si="1"/>
        <v/>
      </c>
      <c r="M640" s="44"/>
    </row>
    <row r="641" ht="15.75" customHeight="1">
      <c r="A641" s="48"/>
      <c r="B641" s="44"/>
      <c r="C641" s="31" t="str">
        <f t="array" ref="C641">IF(B641="","",IFERROR(INDEX(Listas!$Q$5:$Q$20,MATCH(B641,Listas!$P$5:$P$20,0)),""))</f>
        <v/>
      </c>
      <c r="D641" s="44"/>
      <c r="E641" s="44"/>
      <c r="F641" s="44"/>
      <c r="G641" s="44"/>
      <c r="H641" s="44"/>
      <c r="I641" s="49"/>
      <c r="J641" s="47"/>
      <c r="K641" s="50"/>
      <c r="L641" s="43" t="str">
        <f t="shared" si="1"/>
        <v/>
      </c>
      <c r="M641" s="44"/>
    </row>
    <row r="642" ht="15.75" customHeight="1">
      <c r="A642" s="48"/>
      <c r="B642" s="44"/>
      <c r="C642" s="31" t="str">
        <f t="array" ref="C642">IF(B642="","",IFERROR(INDEX(Listas!$Q$5:$Q$20,MATCH(B642,Listas!$P$5:$P$20,0)),""))</f>
        <v/>
      </c>
      <c r="D642" s="44"/>
      <c r="E642" s="44"/>
      <c r="F642" s="44"/>
      <c r="G642" s="44"/>
      <c r="H642" s="44"/>
      <c r="I642" s="49"/>
      <c r="J642" s="47"/>
      <c r="K642" s="50"/>
      <c r="L642" s="43" t="str">
        <f t="shared" si="1"/>
        <v/>
      </c>
      <c r="M642" s="44"/>
    </row>
    <row r="643" ht="15.75" customHeight="1">
      <c r="A643" s="48"/>
      <c r="B643" s="44"/>
      <c r="C643" s="31" t="str">
        <f t="array" ref="C643">IF(B643="","",IFERROR(INDEX(Listas!$Q$5:$Q$20,MATCH(B643,Listas!$P$5:$P$20,0)),""))</f>
        <v/>
      </c>
      <c r="D643" s="44"/>
      <c r="E643" s="44"/>
      <c r="F643" s="44"/>
      <c r="G643" s="44"/>
      <c r="H643" s="44"/>
      <c r="I643" s="49"/>
      <c r="J643" s="47"/>
      <c r="K643" s="50"/>
      <c r="L643" s="43" t="str">
        <f t="shared" si="1"/>
        <v/>
      </c>
      <c r="M643" s="44"/>
    </row>
    <row r="644" ht="15.75" customHeight="1">
      <c r="A644" s="48"/>
      <c r="B644" s="44"/>
      <c r="C644" s="31" t="str">
        <f t="array" ref="C644">IF(B644="","",IFERROR(INDEX(Listas!$Q$5:$Q$20,MATCH(B644,Listas!$P$5:$P$20,0)),""))</f>
        <v/>
      </c>
      <c r="D644" s="44"/>
      <c r="E644" s="44"/>
      <c r="F644" s="44"/>
      <c r="G644" s="44"/>
      <c r="H644" s="44"/>
      <c r="I644" s="49"/>
      <c r="J644" s="47"/>
      <c r="K644" s="50"/>
      <c r="L644" s="43" t="str">
        <f t="shared" si="1"/>
        <v/>
      </c>
      <c r="M644" s="44"/>
    </row>
    <row r="645" ht="15.75" customHeight="1">
      <c r="A645" s="48"/>
      <c r="B645" s="44"/>
      <c r="C645" s="31" t="str">
        <f t="array" ref="C645">IF(B645="","",IFERROR(INDEX(Listas!$Q$5:$Q$20,MATCH(B645,Listas!$P$5:$P$20,0)),""))</f>
        <v/>
      </c>
      <c r="D645" s="44"/>
      <c r="E645" s="44"/>
      <c r="F645" s="44"/>
      <c r="G645" s="44"/>
      <c r="H645" s="44"/>
      <c r="I645" s="49"/>
      <c r="J645" s="47"/>
      <c r="K645" s="50"/>
      <c r="L645" s="43" t="str">
        <f t="shared" si="1"/>
        <v/>
      </c>
      <c r="M645" s="44"/>
    </row>
    <row r="646" ht="15.75" customHeight="1">
      <c r="A646" s="48"/>
      <c r="B646" s="44"/>
      <c r="C646" s="31" t="str">
        <f t="array" ref="C646">IF(B646="","",IFERROR(INDEX(Listas!$Q$5:$Q$20,MATCH(B646,Listas!$P$5:$P$20,0)),""))</f>
        <v/>
      </c>
      <c r="D646" s="44"/>
      <c r="E646" s="44"/>
      <c r="F646" s="44"/>
      <c r="G646" s="44"/>
      <c r="H646" s="44"/>
      <c r="I646" s="49"/>
      <c r="J646" s="47"/>
      <c r="K646" s="50"/>
      <c r="L646" s="43" t="str">
        <f t="shared" si="1"/>
        <v/>
      </c>
      <c r="M646" s="44"/>
    </row>
    <row r="647" ht="15.75" customHeight="1">
      <c r="A647" s="48"/>
      <c r="B647" s="44"/>
      <c r="C647" s="31" t="str">
        <f t="array" ref="C647">IF(B647="","",IFERROR(INDEX(Listas!$Q$5:$Q$20,MATCH(B647,Listas!$P$5:$P$20,0)),""))</f>
        <v/>
      </c>
      <c r="D647" s="44"/>
      <c r="E647" s="44"/>
      <c r="F647" s="44"/>
      <c r="G647" s="44"/>
      <c r="H647" s="44"/>
      <c r="I647" s="49"/>
      <c r="J647" s="47"/>
      <c r="K647" s="50"/>
      <c r="L647" s="43" t="str">
        <f t="shared" si="1"/>
        <v/>
      </c>
      <c r="M647" s="44"/>
    </row>
    <row r="648" ht="15.75" customHeight="1">
      <c r="A648" s="48"/>
      <c r="B648" s="44"/>
      <c r="C648" s="31" t="str">
        <f t="array" ref="C648">IF(B648="","",IFERROR(INDEX(Listas!$Q$5:$Q$20,MATCH(B648,Listas!$P$5:$P$20,0)),""))</f>
        <v/>
      </c>
      <c r="D648" s="44"/>
      <c r="E648" s="44"/>
      <c r="F648" s="44"/>
      <c r="G648" s="44"/>
      <c r="H648" s="44"/>
      <c r="I648" s="49"/>
      <c r="J648" s="47"/>
      <c r="K648" s="50"/>
      <c r="L648" s="43" t="str">
        <f t="shared" si="1"/>
        <v/>
      </c>
      <c r="M648" s="44"/>
    </row>
    <row r="649" ht="15.75" customHeight="1">
      <c r="A649" s="48"/>
      <c r="B649" s="44"/>
      <c r="C649" s="31" t="str">
        <f t="array" ref="C649">IF(B649="","",IFERROR(INDEX(Listas!$Q$5:$Q$20,MATCH(B649,Listas!$P$5:$P$20,0)),""))</f>
        <v/>
      </c>
      <c r="D649" s="44"/>
      <c r="E649" s="44"/>
      <c r="F649" s="44"/>
      <c r="G649" s="44"/>
      <c r="H649" s="44"/>
      <c r="I649" s="49"/>
      <c r="J649" s="47"/>
      <c r="K649" s="50"/>
      <c r="L649" s="43" t="str">
        <f t="shared" si="1"/>
        <v/>
      </c>
      <c r="M649" s="44"/>
    </row>
    <row r="650" ht="15.75" customHeight="1">
      <c r="A650" s="48"/>
      <c r="B650" s="44"/>
      <c r="C650" s="31" t="str">
        <f t="array" ref="C650">IF(B650="","",IFERROR(INDEX(Listas!$Q$5:$Q$20,MATCH(B650,Listas!$P$5:$P$20,0)),""))</f>
        <v/>
      </c>
      <c r="D650" s="44"/>
      <c r="E650" s="44"/>
      <c r="F650" s="44"/>
      <c r="G650" s="44"/>
      <c r="H650" s="44"/>
      <c r="I650" s="49"/>
      <c r="J650" s="47"/>
      <c r="K650" s="50"/>
      <c r="L650" s="43" t="str">
        <f t="shared" si="1"/>
        <v/>
      </c>
      <c r="M650" s="44"/>
    </row>
    <row r="651" ht="15.75" customHeight="1">
      <c r="A651" s="48"/>
      <c r="B651" s="44"/>
      <c r="C651" s="31" t="str">
        <f t="array" ref="C651">IF(B651="","",IFERROR(INDEX(Listas!$Q$5:$Q$20,MATCH(B651,Listas!$P$5:$P$20,0)),""))</f>
        <v/>
      </c>
      <c r="D651" s="44"/>
      <c r="E651" s="44"/>
      <c r="F651" s="44"/>
      <c r="G651" s="44"/>
      <c r="H651" s="44"/>
      <c r="I651" s="49"/>
      <c r="J651" s="47"/>
      <c r="K651" s="50"/>
      <c r="L651" s="43" t="str">
        <f t="shared" si="1"/>
        <v/>
      </c>
      <c r="M651" s="44"/>
    </row>
    <row r="652" ht="15.75" customHeight="1">
      <c r="A652" s="48"/>
      <c r="B652" s="44"/>
      <c r="C652" s="31" t="str">
        <f t="array" ref="C652">IF(B652="","",IFERROR(INDEX(Listas!$Q$5:$Q$20,MATCH(B652,Listas!$P$5:$P$20,0)),""))</f>
        <v/>
      </c>
      <c r="D652" s="44"/>
      <c r="E652" s="44"/>
      <c r="F652" s="44"/>
      <c r="G652" s="44"/>
      <c r="H652" s="44"/>
      <c r="I652" s="49"/>
      <c r="J652" s="47"/>
      <c r="K652" s="50"/>
      <c r="L652" s="43" t="str">
        <f t="shared" si="1"/>
        <v/>
      </c>
      <c r="M652" s="44"/>
    </row>
    <row r="653" ht="15.75" customHeight="1">
      <c r="A653" s="48"/>
      <c r="B653" s="44"/>
      <c r="C653" s="31" t="str">
        <f t="array" ref="C653">IF(B653="","",IFERROR(INDEX(Listas!$Q$5:$Q$20,MATCH(B653,Listas!$P$5:$P$20,0)),""))</f>
        <v/>
      </c>
      <c r="D653" s="44"/>
      <c r="E653" s="44"/>
      <c r="F653" s="44"/>
      <c r="G653" s="44"/>
      <c r="H653" s="44"/>
      <c r="I653" s="49"/>
      <c r="J653" s="47"/>
      <c r="K653" s="50"/>
      <c r="L653" s="43" t="str">
        <f t="shared" si="1"/>
        <v/>
      </c>
      <c r="M653" s="44"/>
    </row>
    <row r="654" ht="15.75" customHeight="1">
      <c r="A654" s="48"/>
      <c r="B654" s="44"/>
      <c r="C654" s="31" t="str">
        <f t="array" ref="C654">IF(B654="","",IFERROR(INDEX(Listas!$Q$5:$Q$20,MATCH(B654,Listas!$P$5:$P$20,0)),""))</f>
        <v/>
      </c>
      <c r="D654" s="44"/>
      <c r="E654" s="44"/>
      <c r="F654" s="44"/>
      <c r="G654" s="44"/>
      <c r="H654" s="44"/>
      <c r="I654" s="49"/>
      <c r="J654" s="47"/>
      <c r="K654" s="50"/>
      <c r="L654" s="43" t="str">
        <f t="shared" si="1"/>
        <v/>
      </c>
      <c r="M654" s="44"/>
    </row>
    <row r="655" ht="15.75" customHeight="1">
      <c r="A655" s="48"/>
      <c r="B655" s="44"/>
      <c r="C655" s="31" t="str">
        <f t="array" ref="C655">IF(B655="","",IFERROR(INDEX(Listas!$Q$5:$Q$20,MATCH(B655,Listas!$P$5:$P$20,0)),""))</f>
        <v/>
      </c>
      <c r="D655" s="44"/>
      <c r="E655" s="44"/>
      <c r="F655" s="44"/>
      <c r="G655" s="44"/>
      <c r="H655" s="44"/>
      <c r="I655" s="49"/>
      <c r="J655" s="47"/>
      <c r="K655" s="50"/>
      <c r="L655" s="43" t="str">
        <f t="shared" si="1"/>
        <v/>
      </c>
      <c r="M655" s="44"/>
    </row>
    <row r="656" ht="15.75" customHeight="1">
      <c r="A656" s="48"/>
      <c r="B656" s="44"/>
      <c r="C656" s="31" t="str">
        <f t="array" ref="C656">IF(B656="","",IFERROR(INDEX(Listas!$Q$5:$Q$20,MATCH(B656,Listas!$P$5:$P$20,0)),""))</f>
        <v/>
      </c>
      <c r="D656" s="44"/>
      <c r="E656" s="44"/>
      <c r="F656" s="44"/>
      <c r="G656" s="44"/>
      <c r="H656" s="44"/>
      <c r="I656" s="49"/>
      <c r="J656" s="47"/>
      <c r="K656" s="50"/>
      <c r="L656" s="43" t="str">
        <f t="shared" si="1"/>
        <v/>
      </c>
      <c r="M656" s="44"/>
    </row>
    <row r="657" ht="15.75" customHeight="1">
      <c r="A657" s="48"/>
      <c r="B657" s="44"/>
      <c r="C657" s="31" t="str">
        <f t="array" ref="C657">IF(B657="","",IFERROR(INDEX(Listas!$Q$5:$Q$20,MATCH(B657,Listas!$P$5:$P$20,0)),""))</f>
        <v/>
      </c>
      <c r="D657" s="44"/>
      <c r="E657" s="44"/>
      <c r="F657" s="44"/>
      <c r="G657" s="44"/>
      <c r="H657" s="44"/>
      <c r="I657" s="49"/>
      <c r="J657" s="47"/>
      <c r="K657" s="50"/>
      <c r="L657" s="43" t="str">
        <f t="shared" si="1"/>
        <v/>
      </c>
      <c r="M657" s="44"/>
    </row>
    <row r="658" ht="15.75" customHeight="1">
      <c r="A658" s="48"/>
      <c r="B658" s="44"/>
      <c r="C658" s="31" t="str">
        <f t="array" ref="C658">IF(B658="","",IFERROR(INDEX(Listas!$Q$5:$Q$20,MATCH(B658,Listas!$P$5:$P$20,0)),""))</f>
        <v/>
      </c>
      <c r="D658" s="44"/>
      <c r="E658" s="44"/>
      <c r="F658" s="44"/>
      <c r="G658" s="44"/>
      <c r="H658" s="44"/>
      <c r="I658" s="49"/>
      <c r="J658" s="47"/>
      <c r="K658" s="50"/>
      <c r="L658" s="43" t="str">
        <f t="shared" si="1"/>
        <v/>
      </c>
      <c r="M658" s="44"/>
    </row>
    <row r="659" ht="15.75" customHeight="1">
      <c r="A659" s="48"/>
      <c r="B659" s="44"/>
      <c r="C659" s="31" t="str">
        <f t="array" ref="C659">IF(B659="","",IFERROR(INDEX(Listas!$Q$5:$Q$20,MATCH(B659,Listas!$P$5:$P$20,0)),""))</f>
        <v/>
      </c>
      <c r="D659" s="44"/>
      <c r="E659" s="44"/>
      <c r="F659" s="44"/>
      <c r="G659" s="44"/>
      <c r="H659" s="44"/>
      <c r="I659" s="49"/>
      <c r="J659" s="47"/>
      <c r="K659" s="50"/>
      <c r="L659" s="43" t="str">
        <f t="shared" si="1"/>
        <v/>
      </c>
      <c r="M659" s="44"/>
    </row>
    <row r="660" ht="15.75" customHeight="1">
      <c r="A660" s="48"/>
      <c r="B660" s="44"/>
      <c r="C660" s="31" t="str">
        <f t="array" ref="C660">IF(B660="","",IFERROR(INDEX(Listas!$Q$5:$Q$20,MATCH(B660,Listas!$P$5:$P$20,0)),""))</f>
        <v/>
      </c>
      <c r="D660" s="44"/>
      <c r="E660" s="44"/>
      <c r="F660" s="44"/>
      <c r="G660" s="44"/>
      <c r="H660" s="44"/>
      <c r="I660" s="49"/>
      <c r="J660" s="47"/>
      <c r="K660" s="50"/>
      <c r="L660" s="43" t="str">
        <f t="shared" si="1"/>
        <v/>
      </c>
      <c r="M660" s="44"/>
    </row>
    <row r="661" ht="15.75" customHeight="1">
      <c r="A661" s="48"/>
      <c r="B661" s="44"/>
      <c r="C661" s="31" t="str">
        <f t="array" ref="C661">IF(B661="","",IFERROR(INDEX(Listas!$Q$5:$Q$20,MATCH(B661,Listas!$P$5:$P$20,0)),""))</f>
        <v/>
      </c>
      <c r="D661" s="44"/>
      <c r="E661" s="44"/>
      <c r="F661" s="44"/>
      <c r="G661" s="44"/>
      <c r="H661" s="44"/>
      <c r="I661" s="49"/>
      <c r="J661" s="47"/>
      <c r="K661" s="50"/>
      <c r="L661" s="43" t="str">
        <f t="shared" si="1"/>
        <v/>
      </c>
      <c r="M661" s="44"/>
    </row>
    <row r="662" ht="15.75" customHeight="1">
      <c r="A662" s="48"/>
      <c r="B662" s="44"/>
      <c r="C662" s="31" t="str">
        <f t="array" ref="C662">IF(B662="","",IFERROR(INDEX(Listas!$Q$5:$Q$20,MATCH(B662,Listas!$P$5:$P$20,0)),""))</f>
        <v/>
      </c>
      <c r="D662" s="44"/>
      <c r="E662" s="44"/>
      <c r="F662" s="44"/>
      <c r="G662" s="44"/>
      <c r="H662" s="44"/>
      <c r="I662" s="49"/>
      <c r="J662" s="47"/>
      <c r="K662" s="50"/>
      <c r="L662" s="43" t="str">
        <f t="shared" si="1"/>
        <v/>
      </c>
      <c r="M662" s="44"/>
    </row>
    <row r="663" ht="15.75" customHeight="1">
      <c r="A663" s="48"/>
      <c r="B663" s="44"/>
      <c r="C663" s="31" t="str">
        <f t="array" ref="C663">IF(B663="","",IFERROR(INDEX(Listas!$Q$5:$Q$20,MATCH(B663,Listas!$P$5:$P$20,0)),""))</f>
        <v/>
      </c>
      <c r="D663" s="44"/>
      <c r="E663" s="44"/>
      <c r="F663" s="44"/>
      <c r="G663" s="44"/>
      <c r="H663" s="44"/>
      <c r="I663" s="49"/>
      <c r="J663" s="47"/>
      <c r="K663" s="50"/>
      <c r="L663" s="43" t="str">
        <f t="shared" si="1"/>
        <v/>
      </c>
      <c r="M663" s="44"/>
    </row>
    <row r="664" ht="15.75" customHeight="1">
      <c r="A664" s="48"/>
      <c r="B664" s="44"/>
      <c r="C664" s="31" t="str">
        <f t="array" ref="C664">IF(B664="","",IFERROR(INDEX(Listas!$Q$5:$Q$20,MATCH(B664,Listas!$P$5:$P$20,0)),""))</f>
        <v/>
      </c>
      <c r="D664" s="44"/>
      <c r="E664" s="44"/>
      <c r="F664" s="44"/>
      <c r="G664" s="44"/>
      <c r="H664" s="44"/>
      <c r="I664" s="49"/>
      <c r="J664" s="47"/>
      <c r="K664" s="50"/>
      <c r="L664" s="43" t="str">
        <f t="shared" si="1"/>
        <v/>
      </c>
      <c r="M664" s="44"/>
    </row>
    <row r="665" ht="15.75" customHeight="1">
      <c r="A665" s="48"/>
      <c r="B665" s="44"/>
      <c r="C665" s="31" t="str">
        <f t="array" ref="C665">IF(B665="","",IFERROR(INDEX(Listas!$Q$5:$Q$20,MATCH(B665,Listas!$P$5:$P$20,0)),""))</f>
        <v/>
      </c>
      <c r="D665" s="44"/>
      <c r="E665" s="44"/>
      <c r="F665" s="44"/>
      <c r="G665" s="44"/>
      <c r="H665" s="44"/>
      <c r="I665" s="49"/>
      <c r="J665" s="47"/>
      <c r="K665" s="50"/>
      <c r="L665" s="43" t="str">
        <f t="shared" si="1"/>
        <v/>
      </c>
      <c r="M665" s="44"/>
    </row>
    <row r="666" ht="15.75" customHeight="1">
      <c r="A666" s="48"/>
      <c r="B666" s="44"/>
      <c r="C666" s="31" t="str">
        <f t="array" ref="C666">IF(B666="","",IFERROR(INDEX(Listas!$Q$5:$Q$20,MATCH(B666,Listas!$P$5:$P$20,0)),""))</f>
        <v/>
      </c>
      <c r="D666" s="44"/>
      <c r="E666" s="44"/>
      <c r="F666" s="44"/>
      <c r="G666" s="44"/>
      <c r="H666" s="44"/>
      <c r="I666" s="49"/>
      <c r="J666" s="47"/>
      <c r="K666" s="50"/>
      <c r="L666" s="43" t="str">
        <f t="shared" si="1"/>
        <v/>
      </c>
      <c r="M666" s="44"/>
    </row>
    <row r="667" ht="15.75" customHeight="1">
      <c r="A667" s="48"/>
      <c r="B667" s="44"/>
      <c r="C667" s="31" t="str">
        <f t="array" ref="C667">IF(B667="","",IFERROR(INDEX(Listas!$Q$5:$Q$20,MATCH(B667,Listas!$P$5:$P$20,0)),""))</f>
        <v/>
      </c>
      <c r="D667" s="44"/>
      <c r="E667" s="44"/>
      <c r="F667" s="44"/>
      <c r="G667" s="44"/>
      <c r="H667" s="44"/>
      <c r="I667" s="49"/>
      <c r="J667" s="47"/>
      <c r="K667" s="50"/>
      <c r="L667" s="43" t="str">
        <f t="shared" si="1"/>
        <v/>
      </c>
      <c r="M667" s="44"/>
    </row>
    <row r="668" ht="15.75" customHeight="1">
      <c r="A668" s="48"/>
      <c r="B668" s="44"/>
      <c r="C668" s="31" t="str">
        <f t="array" ref="C668">IF(B668="","",IFERROR(INDEX(Listas!$Q$5:$Q$20,MATCH(B668,Listas!$P$5:$P$20,0)),""))</f>
        <v/>
      </c>
      <c r="D668" s="44"/>
      <c r="E668" s="44"/>
      <c r="F668" s="44"/>
      <c r="G668" s="44"/>
      <c r="H668" s="44"/>
      <c r="I668" s="49"/>
      <c r="J668" s="47"/>
      <c r="K668" s="50"/>
      <c r="L668" s="43" t="str">
        <f t="shared" si="1"/>
        <v/>
      </c>
      <c r="M668" s="44"/>
    </row>
    <row r="669" ht="15.75" customHeight="1">
      <c r="A669" s="48"/>
      <c r="B669" s="44"/>
      <c r="C669" s="31" t="str">
        <f t="array" ref="C669">IF(B669="","",IFERROR(INDEX(Listas!$Q$5:$Q$20,MATCH(B669,Listas!$P$5:$P$20,0)),""))</f>
        <v/>
      </c>
      <c r="D669" s="44"/>
      <c r="E669" s="44"/>
      <c r="F669" s="44"/>
      <c r="G669" s="44"/>
      <c r="H669" s="44"/>
      <c r="I669" s="49"/>
      <c r="J669" s="47"/>
      <c r="K669" s="50"/>
      <c r="L669" s="43" t="str">
        <f t="shared" si="1"/>
        <v/>
      </c>
      <c r="M669" s="44"/>
    </row>
    <row r="670" ht="15.75" customHeight="1">
      <c r="A670" s="48"/>
      <c r="B670" s="44"/>
      <c r="C670" s="31" t="str">
        <f t="array" ref="C670">IF(B670="","",IFERROR(INDEX(Listas!$Q$5:$Q$20,MATCH(B670,Listas!$P$5:$P$20,0)),""))</f>
        <v/>
      </c>
      <c r="D670" s="44"/>
      <c r="E670" s="44"/>
      <c r="F670" s="44"/>
      <c r="G670" s="44"/>
      <c r="H670" s="44"/>
      <c r="I670" s="49"/>
      <c r="J670" s="47"/>
      <c r="K670" s="50"/>
      <c r="L670" s="43" t="str">
        <f t="shared" si="1"/>
        <v/>
      </c>
      <c r="M670" s="44"/>
    </row>
    <row r="671" ht="15.75" customHeight="1">
      <c r="A671" s="48"/>
      <c r="B671" s="44"/>
      <c r="C671" s="31" t="str">
        <f t="array" ref="C671">IF(B671="","",IFERROR(INDEX(Listas!$Q$5:$Q$20,MATCH(B671,Listas!$P$5:$P$20,0)),""))</f>
        <v/>
      </c>
      <c r="D671" s="44"/>
      <c r="E671" s="44"/>
      <c r="F671" s="44"/>
      <c r="G671" s="44"/>
      <c r="H671" s="44"/>
      <c r="I671" s="49"/>
      <c r="J671" s="47"/>
      <c r="K671" s="50"/>
      <c r="L671" s="43" t="str">
        <f t="shared" si="1"/>
        <v/>
      </c>
      <c r="M671" s="44"/>
    </row>
    <row r="672" ht="15.75" customHeight="1">
      <c r="A672" s="48"/>
      <c r="B672" s="44"/>
      <c r="C672" s="31" t="str">
        <f t="array" ref="C672">IF(B672="","",IFERROR(INDEX(Listas!$Q$5:$Q$20,MATCH(B672,Listas!$P$5:$P$20,0)),""))</f>
        <v/>
      </c>
      <c r="D672" s="44"/>
      <c r="E672" s="44"/>
      <c r="F672" s="44"/>
      <c r="G672" s="44"/>
      <c r="H672" s="44"/>
      <c r="I672" s="49"/>
      <c r="J672" s="47"/>
      <c r="K672" s="50"/>
      <c r="L672" s="43" t="str">
        <f t="shared" si="1"/>
        <v/>
      </c>
      <c r="M672" s="44"/>
    </row>
    <row r="673" ht="15.75" customHeight="1">
      <c r="A673" s="48"/>
      <c r="B673" s="44"/>
      <c r="C673" s="31" t="str">
        <f t="array" ref="C673">IF(B673="","",IFERROR(INDEX(Listas!$Q$5:$Q$20,MATCH(B673,Listas!$P$5:$P$20,0)),""))</f>
        <v/>
      </c>
      <c r="D673" s="44"/>
      <c r="E673" s="44"/>
      <c r="F673" s="44"/>
      <c r="G673" s="44"/>
      <c r="H673" s="44"/>
      <c r="I673" s="49"/>
      <c r="J673" s="47"/>
      <c r="K673" s="50"/>
      <c r="L673" s="43" t="str">
        <f t="shared" si="1"/>
        <v/>
      </c>
      <c r="M673" s="44"/>
    </row>
    <row r="674" ht="15.75" customHeight="1">
      <c r="A674" s="48"/>
      <c r="B674" s="44"/>
      <c r="C674" s="31" t="str">
        <f t="array" ref="C674">IF(B674="","",IFERROR(INDEX(Listas!$Q$5:$Q$20,MATCH(B674,Listas!$P$5:$P$20,0)),""))</f>
        <v/>
      </c>
      <c r="D674" s="44"/>
      <c r="E674" s="44"/>
      <c r="F674" s="44"/>
      <c r="G674" s="44"/>
      <c r="H674" s="44"/>
      <c r="I674" s="49"/>
      <c r="J674" s="47"/>
      <c r="K674" s="50"/>
      <c r="L674" s="43" t="str">
        <f t="shared" si="1"/>
        <v/>
      </c>
      <c r="M674" s="44"/>
    </row>
    <row r="675" ht="15.75" customHeight="1">
      <c r="A675" s="48"/>
      <c r="B675" s="44"/>
      <c r="C675" s="31" t="str">
        <f t="array" ref="C675">IF(B675="","",IFERROR(INDEX(Listas!$Q$5:$Q$20,MATCH(B675,Listas!$P$5:$P$20,0)),""))</f>
        <v/>
      </c>
      <c r="D675" s="44"/>
      <c r="E675" s="44"/>
      <c r="F675" s="44"/>
      <c r="G675" s="44"/>
      <c r="H675" s="44"/>
      <c r="I675" s="49"/>
      <c r="J675" s="47"/>
      <c r="K675" s="50"/>
      <c r="L675" s="43" t="str">
        <f t="shared" si="1"/>
        <v/>
      </c>
      <c r="M675" s="44"/>
    </row>
    <row r="676" ht="15.75" customHeight="1">
      <c r="A676" s="48"/>
      <c r="B676" s="44"/>
      <c r="C676" s="31" t="str">
        <f t="array" ref="C676">IF(B676="","",IFERROR(INDEX(Listas!$Q$5:$Q$20,MATCH(B676,Listas!$P$5:$P$20,0)),""))</f>
        <v/>
      </c>
      <c r="D676" s="44"/>
      <c r="E676" s="44"/>
      <c r="F676" s="44"/>
      <c r="G676" s="44"/>
      <c r="H676" s="44"/>
      <c r="I676" s="49"/>
      <c r="J676" s="47"/>
      <c r="K676" s="50"/>
      <c r="L676" s="43" t="str">
        <f t="shared" si="1"/>
        <v/>
      </c>
      <c r="M676" s="44"/>
    </row>
    <row r="677" ht="15.75" customHeight="1">
      <c r="A677" s="48"/>
      <c r="B677" s="44"/>
      <c r="C677" s="31" t="str">
        <f t="array" ref="C677">IF(B677="","",IFERROR(INDEX(Listas!$Q$5:$Q$20,MATCH(B677,Listas!$P$5:$P$20,0)),""))</f>
        <v/>
      </c>
      <c r="D677" s="44"/>
      <c r="E677" s="44"/>
      <c r="F677" s="44"/>
      <c r="G677" s="44"/>
      <c r="H677" s="44"/>
      <c r="I677" s="49"/>
      <c r="J677" s="47"/>
      <c r="K677" s="50"/>
      <c r="L677" s="43" t="str">
        <f t="shared" si="1"/>
        <v/>
      </c>
      <c r="M677" s="44"/>
    </row>
    <row r="678" ht="15.75" customHeight="1">
      <c r="A678" s="48"/>
      <c r="B678" s="44"/>
      <c r="C678" s="31" t="str">
        <f t="array" ref="C678">IF(B678="","",IFERROR(INDEX(Listas!$Q$5:$Q$20,MATCH(B678,Listas!$P$5:$P$20,0)),""))</f>
        <v/>
      </c>
      <c r="D678" s="44"/>
      <c r="E678" s="44"/>
      <c r="F678" s="44"/>
      <c r="G678" s="44"/>
      <c r="H678" s="44"/>
      <c r="I678" s="49"/>
      <c r="J678" s="47"/>
      <c r="K678" s="50"/>
      <c r="L678" s="43" t="str">
        <f t="shared" si="1"/>
        <v/>
      </c>
      <c r="M678" s="44"/>
    </row>
    <row r="679" ht="15.75" customHeight="1">
      <c r="A679" s="48"/>
      <c r="B679" s="44"/>
      <c r="C679" s="31" t="str">
        <f t="array" ref="C679">IF(B679="","",IFERROR(INDEX(Listas!$Q$5:$Q$20,MATCH(B679,Listas!$P$5:$P$20,0)),""))</f>
        <v/>
      </c>
      <c r="D679" s="44"/>
      <c r="E679" s="44"/>
      <c r="F679" s="44"/>
      <c r="G679" s="44"/>
      <c r="H679" s="44"/>
      <c r="I679" s="49"/>
      <c r="J679" s="47"/>
      <c r="K679" s="50"/>
      <c r="L679" s="43" t="str">
        <f t="shared" si="1"/>
        <v/>
      </c>
      <c r="M679" s="44"/>
    </row>
    <row r="680" ht="15.75" customHeight="1">
      <c r="A680" s="48"/>
      <c r="B680" s="44"/>
      <c r="C680" s="31" t="str">
        <f t="array" ref="C680">IF(B680="","",IFERROR(INDEX(Listas!$Q$5:$Q$20,MATCH(B680,Listas!$P$5:$P$20,0)),""))</f>
        <v/>
      </c>
      <c r="D680" s="44"/>
      <c r="E680" s="44"/>
      <c r="F680" s="44"/>
      <c r="G680" s="44"/>
      <c r="H680" s="44"/>
      <c r="I680" s="49"/>
      <c r="J680" s="47"/>
      <c r="K680" s="50"/>
      <c r="L680" s="43" t="str">
        <f t="shared" si="1"/>
        <v/>
      </c>
      <c r="M680" s="44"/>
    </row>
    <row r="681" ht="15.75" customHeight="1">
      <c r="A681" s="48"/>
      <c r="B681" s="44"/>
      <c r="C681" s="31" t="str">
        <f t="array" ref="C681">IF(B681="","",IFERROR(INDEX(Listas!$Q$5:$Q$20,MATCH(B681,Listas!$P$5:$P$20,0)),""))</f>
        <v/>
      </c>
      <c r="D681" s="44"/>
      <c r="E681" s="44"/>
      <c r="F681" s="44"/>
      <c r="G681" s="44"/>
      <c r="H681" s="44"/>
      <c r="I681" s="49"/>
      <c r="J681" s="47"/>
      <c r="K681" s="50"/>
      <c r="L681" s="43" t="str">
        <f t="shared" si="1"/>
        <v/>
      </c>
      <c r="M681" s="44"/>
    </row>
    <row r="682" ht="15.75" customHeight="1">
      <c r="A682" s="48"/>
      <c r="B682" s="44"/>
      <c r="C682" s="31" t="str">
        <f t="array" ref="C682">IF(B682="","",IFERROR(INDEX(Listas!$Q$5:$Q$20,MATCH(B682,Listas!$P$5:$P$20,0)),""))</f>
        <v/>
      </c>
      <c r="D682" s="44"/>
      <c r="E682" s="44"/>
      <c r="F682" s="44"/>
      <c r="G682" s="44"/>
      <c r="H682" s="44"/>
      <c r="I682" s="49"/>
      <c r="J682" s="47"/>
      <c r="K682" s="50"/>
      <c r="L682" s="43" t="str">
        <f t="shared" si="1"/>
        <v/>
      </c>
      <c r="M682" s="44"/>
    </row>
    <row r="683" ht="15.75" customHeight="1">
      <c r="A683" s="48"/>
      <c r="B683" s="44"/>
      <c r="C683" s="31" t="str">
        <f t="array" ref="C683">IF(B683="","",IFERROR(INDEX(Listas!$Q$5:$Q$20,MATCH(B683,Listas!$P$5:$P$20,0)),""))</f>
        <v/>
      </c>
      <c r="D683" s="44"/>
      <c r="E683" s="44"/>
      <c r="F683" s="44"/>
      <c r="G683" s="44"/>
      <c r="H683" s="44"/>
      <c r="I683" s="49"/>
      <c r="J683" s="47"/>
      <c r="K683" s="50"/>
      <c r="L683" s="43" t="str">
        <f t="shared" si="1"/>
        <v/>
      </c>
      <c r="M683" s="44"/>
    </row>
    <row r="684" ht="15.75" customHeight="1">
      <c r="A684" s="48"/>
      <c r="B684" s="44"/>
      <c r="C684" s="31" t="str">
        <f t="array" ref="C684">IF(B684="","",IFERROR(INDEX(Listas!$Q$5:$Q$20,MATCH(B684,Listas!$P$5:$P$20,0)),""))</f>
        <v/>
      </c>
      <c r="D684" s="44"/>
      <c r="E684" s="44"/>
      <c r="F684" s="44"/>
      <c r="G684" s="44"/>
      <c r="H684" s="44"/>
      <c r="I684" s="49"/>
      <c r="J684" s="47"/>
      <c r="K684" s="50"/>
      <c r="L684" s="43" t="str">
        <f t="shared" si="1"/>
        <v/>
      </c>
      <c r="M684" s="44"/>
    </row>
    <row r="685" ht="15.75" customHeight="1">
      <c r="A685" s="48"/>
      <c r="B685" s="44"/>
      <c r="C685" s="31" t="str">
        <f t="array" ref="C685">IF(B685="","",IFERROR(INDEX(Listas!$Q$5:$Q$20,MATCH(B685,Listas!$P$5:$P$20,0)),""))</f>
        <v/>
      </c>
      <c r="D685" s="44"/>
      <c r="E685" s="44"/>
      <c r="F685" s="44"/>
      <c r="G685" s="44"/>
      <c r="H685" s="44"/>
      <c r="I685" s="49"/>
      <c r="J685" s="47"/>
      <c r="K685" s="50"/>
      <c r="L685" s="43" t="str">
        <f t="shared" si="1"/>
        <v/>
      </c>
      <c r="M685" s="44"/>
    </row>
    <row r="686" ht="15.75" customHeight="1">
      <c r="A686" s="48"/>
      <c r="B686" s="44"/>
      <c r="C686" s="31" t="str">
        <f t="array" ref="C686">IF(B686="","",IFERROR(INDEX(Listas!$Q$5:$Q$20,MATCH(B686,Listas!$P$5:$P$20,0)),""))</f>
        <v/>
      </c>
      <c r="D686" s="44"/>
      <c r="E686" s="44"/>
      <c r="F686" s="44"/>
      <c r="G686" s="44"/>
      <c r="H686" s="44"/>
      <c r="I686" s="49"/>
      <c r="J686" s="47"/>
      <c r="K686" s="50"/>
      <c r="L686" s="43" t="str">
        <f t="shared" si="1"/>
        <v/>
      </c>
      <c r="M686" s="44"/>
    </row>
    <row r="687" ht="15.75" customHeight="1">
      <c r="A687" s="48"/>
      <c r="B687" s="44"/>
      <c r="C687" s="31" t="str">
        <f t="array" ref="C687">IF(B687="","",IFERROR(INDEX(Listas!$Q$5:$Q$20,MATCH(B687,Listas!$P$5:$P$20,0)),""))</f>
        <v/>
      </c>
      <c r="D687" s="44"/>
      <c r="E687" s="44"/>
      <c r="F687" s="44"/>
      <c r="G687" s="44"/>
      <c r="H687" s="44"/>
      <c r="I687" s="49"/>
      <c r="J687" s="47"/>
      <c r="K687" s="50"/>
      <c r="L687" s="43" t="str">
        <f t="shared" si="1"/>
        <v/>
      </c>
      <c r="M687" s="44"/>
    </row>
    <row r="688" ht="15.75" customHeight="1">
      <c r="A688" s="48"/>
      <c r="B688" s="44"/>
      <c r="C688" s="31" t="str">
        <f t="array" ref="C688">IF(B688="","",IFERROR(INDEX(Listas!$Q$5:$Q$20,MATCH(B688,Listas!$P$5:$P$20,0)),""))</f>
        <v/>
      </c>
      <c r="D688" s="44"/>
      <c r="E688" s="44"/>
      <c r="F688" s="44"/>
      <c r="G688" s="44"/>
      <c r="H688" s="44"/>
      <c r="I688" s="49"/>
      <c r="J688" s="47"/>
      <c r="K688" s="50"/>
      <c r="L688" s="43" t="str">
        <f t="shared" si="1"/>
        <v/>
      </c>
      <c r="M688" s="44"/>
    </row>
    <row r="689" ht="15.75" customHeight="1">
      <c r="A689" s="48"/>
      <c r="B689" s="44"/>
      <c r="C689" s="31" t="str">
        <f t="array" ref="C689">IF(B689="","",IFERROR(INDEX(Listas!$Q$5:$Q$20,MATCH(B689,Listas!$P$5:$P$20,0)),""))</f>
        <v/>
      </c>
      <c r="D689" s="44"/>
      <c r="E689" s="44"/>
      <c r="F689" s="44"/>
      <c r="G689" s="44"/>
      <c r="H689" s="44"/>
      <c r="I689" s="49"/>
      <c r="J689" s="47"/>
      <c r="K689" s="50"/>
      <c r="L689" s="43" t="str">
        <f t="shared" si="1"/>
        <v/>
      </c>
      <c r="M689" s="44"/>
    </row>
    <row r="690" ht="15.75" customHeight="1">
      <c r="A690" s="48"/>
      <c r="B690" s="44"/>
      <c r="C690" s="31" t="str">
        <f t="array" ref="C690">IF(B690="","",IFERROR(INDEX(Listas!$Q$5:$Q$20,MATCH(B690,Listas!$P$5:$P$20,0)),""))</f>
        <v/>
      </c>
      <c r="D690" s="44"/>
      <c r="E690" s="44"/>
      <c r="F690" s="44"/>
      <c r="G690" s="44"/>
      <c r="H690" s="44"/>
      <c r="I690" s="49"/>
      <c r="J690" s="47"/>
      <c r="K690" s="50"/>
      <c r="L690" s="43" t="str">
        <f t="shared" si="1"/>
        <v/>
      </c>
      <c r="M690" s="44"/>
    </row>
    <row r="691" ht="15.75" customHeight="1">
      <c r="A691" s="48"/>
      <c r="B691" s="44"/>
      <c r="C691" s="31" t="str">
        <f t="array" ref="C691">IF(B691="","",IFERROR(INDEX(Listas!$Q$5:$Q$20,MATCH(B691,Listas!$P$5:$P$20,0)),""))</f>
        <v/>
      </c>
      <c r="D691" s="44"/>
      <c r="E691" s="44"/>
      <c r="F691" s="44"/>
      <c r="G691" s="44"/>
      <c r="H691" s="44"/>
      <c r="I691" s="49"/>
      <c r="J691" s="47"/>
      <c r="K691" s="50"/>
      <c r="L691" s="43" t="str">
        <f t="shared" si="1"/>
        <v/>
      </c>
      <c r="M691" s="44"/>
    </row>
    <row r="692" ht="15.75" customHeight="1">
      <c r="A692" s="48"/>
      <c r="B692" s="44"/>
      <c r="C692" s="31" t="str">
        <f t="array" ref="C692">IF(B692="","",IFERROR(INDEX(Listas!$Q$5:$Q$20,MATCH(B692,Listas!$P$5:$P$20,0)),""))</f>
        <v/>
      </c>
      <c r="D692" s="44"/>
      <c r="E692" s="44"/>
      <c r="F692" s="44"/>
      <c r="G692" s="44"/>
      <c r="H692" s="44"/>
      <c r="I692" s="49"/>
      <c r="J692" s="47"/>
      <c r="K692" s="50"/>
      <c r="L692" s="43" t="str">
        <f t="shared" si="1"/>
        <v/>
      </c>
      <c r="M692" s="44"/>
    </row>
    <row r="693" ht="15.75" customHeight="1">
      <c r="A693" s="48"/>
      <c r="B693" s="44"/>
      <c r="C693" s="31" t="str">
        <f t="array" ref="C693">IF(B693="","",IFERROR(INDEX(Listas!$Q$5:$Q$20,MATCH(B693,Listas!$P$5:$P$20,0)),""))</f>
        <v/>
      </c>
      <c r="D693" s="44"/>
      <c r="E693" s="44"/>
      <c r="F693" s="44"/>
      <c r="G693" s="44"/>
      <c r="H693" s="44"/>
      <c r="I693" s="49"/>
      <c r="J693" s="47"/>
      <c r="K693" s="50"/>
      <c r="L693" s="43" t="str">
        <f t="shared" si="1"/>
        <v/>
      </c>
      <c r="M693" s="44"/>
    </row>
    <row r="694" ht="15.75" customHeight="1">
      <c r="A694" s="48"/>
      <c r="B694" s="44"/>
      <c r="C694" s="31" t="str">
        <f t="array" ref="C694">IF(B694="","",IFERROR(INDEX(Listas!$Q$5:$Q$20,MATCH(B694,Listas!$P$5:$P$20,0)),""))</f>
        <v/>
      </c>
      <c r="D694" s="44"/>
      <c r="E694" s="44"/>
      <c r="F694" s="44"/>
      <c r="G694" s="44"/>
      <c r="H694" s="44"/>
      <c r="I694" s="49"/>
      <c r="J694" s="47"/>
      <c r="K694" s="50"/>
      <c r="L694" s="43" t="str">
        <f t="shared" si="1"/>
        <v/>
      </c>
      <c r="M694" s="44"/>
    </row>
    <row r="695" ht="15.75" customHeight="1">
      <c r="A695" s="48"/>
      <c r="B695" s="44"/>
      <c r="C695" s="31" t="str">
        <f t="array" ref="C695">IF(B695="","",IFERROR(INDEX(Listas!$Q$5:$Q$20,MATCH(B695,Listas!$P$5:$P$20,0)),""))</f>
        <v/>
      </c>
      <c r="D695" s="44"/>
      <c r="E695" s="44"/>
      <c r="F695" s="44"/>
      <c r="G695" s="44"/>
      <c r="H695" s="44"/>
      <c r="I695" s="49"/>
      <c r="J695" s="47"/>
      <c r="K695" s="50"/>
      <c r="L695" s="43" t="str">
        <f t="shared" si="1"/>
        <v/>
      </c>
      <c r="M695" s="44"/>
    </row>
    <row r="696" ht="15.75" customHeight="1">
      <c r="A696" s="48"/>
      <c r="B696" s="44"/>
      <c r="C696" s="31" t="str">
        <f t="array" ref="C696">IF(B696="","",IFERROR(INDEX(Listas!$Q$5:$Q$20,MATCH(B696,Listas!$P$5:$P$20,0)),""))</f>
        <v/>
      </c>
      <c r="D696" s="44"/>
      <c r="E696" s="44"/>
      <c r="F696" s="44"/>
      <c r="G696" s="44"/>
      <c r="H696" s="44"/>
      <c r="I696" s="49"/>
      <c r="J696" s="47"/>
      <c r="K696" s="50"/>
      <c r="L696" s="43" t="str">
        <f t="shared" si="1"/>
        <v/>
      </c>
      <c r="M696" s="44"/>
    </row>
    <row r="697" ht="15.75" customHeight="1">
      <c r="A697" s="48"/>
      <c r="B697" s="44"/>
      <c r="C697" s="31" t="str">
        <f t="array" ref="C697">IF(B697="","",IFERROR(INDEX(Listas!$Q$5:$Q$20,MATCH(B697,Listas!$P$5:$P$20,0)),""))</f>
        <v/>
      </c>
      <c r="D697" s="44"/>
      <c r="E697" s="44"/>
      <c r="F697" s="44"/>
      <c r="G697" s="44"/>
      <c r="H697" s="44"/>
      <c r="I697" s="49"/>
      <c r="J697" s="47"/>
      <c r="K697" s="50"/>
      <c r="L697" s="43" t="str">
        <f t="shared" si="1"/>
        <v/>
      </c>
      <c r="M697" s="44"/>
    </row>
    <row r="698" ht="15.75" customHeight="1">
      <c r="A698" s="48"/>
      <c r="B698" s="44"/>
      <c r="C698" s="31" t="str">
        <f t="array" ref="C698">IF(B698="","",IFERROR(INDEX(Listas!$Q$5:$Q$20,MATCH(B698,Listas!$P$5:$P$20,0)),""))</f>
        <v/>
      </c>
      <c r="D698" s="44"/>
      <c r="E698" s="44"/>
      <c r="F698" s="44"/>
      <c r="G698" s="44"/>
      <c r="H698" s="44"/>
      <c r="I698" s="49"/>
      <c r="J698" s="47"/>
      <c r="K698" s="50"/>
      <c r="L698" s="43" t="str">
        <f t="shared" si="1"/>
        <v/>
      </c>
      <c r="M698" s="44"/>
    </row>
    <row r="699" ht="15.75" customHeight="1">
      <c r="A699" s="48"/>
      <c r="B699" s="44"/>
      <c r="C699" s="31" t="str">
        <f t="array" ref="C699">IF(B699="","",IFERROR(INDEX(Listas!$Q$5:$Q$20,MATCH(B699,Listas!$P$5:$P$20,0)),""))</f>
        <v/>
      </c>
      <c r="D699" s="44"/>
      <c r="E699" s="44"/>
      <c r="F699" s="44"/>
      <c r="G699" s="44"/>
      <c r="H699" s="44"/>
      <c r="I699" s="49"/>
      <c r="J699" s="47"/>
      <c r="K699" s="50"/>
      <c r="L699" s="43" t="str">
        <f t="shared" si="1"/>
        <v/>
      </c>
      <c r="M699" s="44"/>
    </row>
    <row r="700" ht="15.75" customHeight="1">
      <c r="A700" s="48"/>
      <c r="B700" s="44"/>
      <c r="C700" s="31" t="str">
        <f t="array" ref="C700">IF(B700="","",IFERROR(INDEX(Listas!$Q$5:$Q$20,MATCH(B700,Listas!$P$5:$P$20,0)),""))</f>
        <v/>
      </c>
      <c r="D700" s="44"/>
      <c r="E700" s="44"/>
      <c r="F700" s="44"/>
      <c r="G700" s="44"/>
      <c r="H700" s="44"/>
      <c r="I700" s="49"/>
      <c r="J700" s="47"/>
      <c r="K700" s="50"/>
      <c r="L700" s="43" t="str">
        <f t="shared" si="1"/>
        <v/>
      </c>
      <c r="M700" s="44"/>
    </row>
    <row r="701" ht="15.75" customHeight="1">
      <c r="A701" s="48"/>
      <c r="B701" s="44"/>
      <c r="C701" s="31" t="str">
        <f t="array" ref="C701">IF(B701="","",IFERROR(INDEX(Listas!$Q$5:$Q$20,MATCH(B701,Listas!$P$5:$P$20,0)),""))</f>
        <v/>
      </c>
      <c r="D701" s="44"/>
      <c r="E701" s="44"/>
      <c r="F701" s="44"/>
      <c r="G701" s="44"/>
      <c r="H701" s="44"/>
      <c r="I701" s="49"/>
      <c r="J701" s="47"/>
      <c r="K701" s="50"/>
      <c r="L701" s="43" t="str">
        <f t="shared" si="1"/>
        <v/>
      </c>
      <c r="M701" s="44"/>
    </row>
    <row r="702" ht="15.75" customHeight="1">
      <c r="A702" s="48"/>
      <c r="B702" s="44"/>
      <c r="C702" s="31" t="str">
        <f t="array" ref="C702">IF(B702="","",IFERROR(INDEX(Listas!$Q$5:$Q$20,MATCH(B702,Listas!$P$5:$P$20,0)),""))</f>
        <v/>
      </c>
      <c r="D702" s="44"/>
      <c r="E702" s="44"/>
      <c r="F702" s="44"/>
      <c r="G702" s="44"/>
      <c r="H702" s="44"/>
      <c r="I702" s="49"/>
      <c r="J702" s="47"/>
      <c r="K702" s="50"/>
      <c r="L702" s="43" t="str">
        <f t="shared" si="1"/>
        <v/>
      </c>
      <c r="M702" s="44"/>
    </row>
    <row r="703" ht="15.75" customHeight="1">
      <c r="A703" s="48"/>
      <c r="B703" s="44"/>
      <c r="C703" s="31" t="str">
        <f t="array" ref="C703">IF(B703="","",IFERROR(INDEX(Listas!$Q$5:$Q$20,MATCH(B703,Listas!$P$5:$P$20,0)),""))</f>
        <v/>
      </c>
      <c r="D703" s="44"/>
      <c r="E703" s="44"/>
      <c r="F703" s="44"/>
      <c r="G703" s="44"/>
      <c r="H703" s="44"/>
      <c r="I703" s="49"/>
      <c r="J703" s="47"/>
      <c r="K703" s="50"/>
      <c r="L703" s="43" t="str">
        <f t="shared" si="1"/>
        <v/>
      </c>
      <c r="M703" s="44"/>
    </row>
    <row r="704" ht="15.75" customHeight="1">
      <c r="A704" s="48"/>
      <c r="B704" s="44"/>
      <c r="C704" s="31" t="str">
        <f t="array" ref="C704">IF(B704="","",IFERROR(INDEX(Listas!$Q$5:$Q$20,MATCH(B704,Listas!$P$5:$P$20,0)),""))</f>
        <v/>
      </c>
      <c r="D704" s="44"/>
      <c r="E704" s="44"/>
      <c r="F704" s="44"/>
      <c r="G704" s="44"/>
      <c r="H704" s="44"/>
      <c r="I704" s="49"/>
      <c r="J704" s="47"/>
      <c r="K704" s="50"/>
      <c r="L704" s="43" t="str">
        <f t="shared" si="1"/>
        <v/>
      </c>
      <c r="M704" s="44"/>
    </row>
    <row r="705" ht="15.75" customHeight="1">
      <c r="A705" s="48"/>
      <c r="B705" s="44"/>
      <c r="C705" s="31" t="str">
        <f t="array" ref="C705">IF(B705="","",IFERROR(INDEX(Listas!$Q$5:$Q$20,MATCH(B705,Listas!$P$5:$P$20,0)),""))</f>
        <v/>
      </c>
      <c r="D705" s="44"/>
      <c r="E705" s="44"/>
      <c r="F705" s="44"/>
      <c r="G705" s="44"/>
      <c r="H705" s="44"/>
      <c r="I705" s="49"/>
      <c r="J705" s="47"/>
      <c r="K705" s="50"/>
      <c r="L705" s="43" t="str">
        <f t="shared" si="1"/>
        <v/>
      </c>
      <c r="M705" s="44"/>
    </row>
    <row r="706" ht="15.75" customHeight="1">
      <c r="A706" s="48"/>
      <c r="B706" s="44"/>
      <c r="C706" s="31" t="str">
        <f t="array" ref="C706">IF(B706="","",IFERROR(INDEX(Listas!$Q$5:$Q$20,MATCH(B706,Listas!$P$5:$P$20,0)),""))</f>
        <v/>
      </c>
      <c r="D706" s="44"/>
      <c r="E706" s="44"/>
      <c r="F706" s="44"/>
      <c r="G706" s="44"/>
      <c r="H706" s="44"/>
      <c r="I706" s="49"/>
      <c r="J706" s="47"/>
      <c r="K706" s="50"/>
      <c r="L706" s="43" t="str">
        <f t="shared" si="1"/>
        <v/>
      </c>
      <c r="M706" s="44"/>
    </row>
    <row r="707" ht="15.75" customHeight="1">
      <c r="A707" s="48"/>
      <c r="B707" s="44"/>
      <c r="C707" s="31" t="str">
        <f t="array" ref="C707">IF(B707="","",IFERROR(INDEX(Listas!$Q$5:$Q$20,MATCH(B707,Listas!$P$5:$P$20,0)),""))</f>
        <v/>
      </c>
      <c r="D707" s="44"/>
      <c r="E707" s="44"/>
      <c r="F707" s="44"/>
      <c r="G707" s="44"/>
      <c r="H707" s="44"/>
      <c r="I707" s="49"/>
      <c r="J707" s="47"/>
      <c r="K707" s="50"/>
      <c r="L707" s="43" t="str">
        <f t="shared" si="1"/>
        <v/>
      </c>
      <c r="M707" s="44"/>
    </row>
    <row r="708" ht="15.75" customHeight="1">
      <c r="A708" s="48"/>
      <c r="B708" s="44"/>
      <c r="C708" s="31" t="str">
        <f t="array" ref="C708">IF(B708="","",IFERROR(INDEX(Listas!$Q$5:$Q$20,MATCH(B708,Listas!$P$5:$P$20,0)),""))</f>
        <v/>
      </c>
      <c r="D708" s="44"/>
      <c r="E708" s="44"/>
      <c r="F708" s="44"/>
      <c r="G708" s="44"/>
      <c r="H708" s="44"/>
      <c r="I708" s="49"/>
      <c r="J708" s="47"/>
      <c r="K708" s="50"/>
      <c r="L708" s="43" t="str">
        <f t="shared" si="1"/>
        <v/>
      </c>
      <c r="M708" s="44"/>
    </row>
    <row r="709" ht="15.75" customHeight="1">
      <c r="A709" s="48"/>
      <c r="B709" s="44"/>
      <c r="C709" s="31" t="str">
        <f t="array" ref="C709">IF(B709="","",IFERROR(INDEX(Listas!$Q$5:$Q$20,MATCH(B709,Listas!$P$5:$P$20,0)),""))</f>
        <v/>
      </c>
      <c r="D709" s="44"/>
      <c r="E709" s="44"/>
      <c r="F709" s="44"/>
      <c r="G709" s="44"/>
      <c r="H709" s="44"/>
      <c r="I709" s="49"/>
      <c r="J709" s="47"/>
      <c r="K709" s="50"/>
      <c r="L709" s="43" t="str">
        <f t="shared" si="1"/>
        <v/>
      </c>
      <c r="M709" s="44"/>
    </row>
    <row r="710" ht="15.75" customHeight="1">
      <c r="A710" s="48"/>
      <c r="B710" s="44"/>
      <c r="C710" s="31" t="str">
        <f t="array" ref="C710">IF(B710="","",IFERROR(INDEX(Listas!$Q$5:$Q$20,MATCH(B710,Listas!$P$5:$P$20,0)),""))</f>
        <v/>
      </c>
      <c r="D710" s="44"/>
      <c r="E710" s="44"/>
      <c r="F710" s="44"/>
      <c r="G710" s="44"/>
      <c r="H710" s="44"/>
      <c r="I710" s="49"/>
      <c r="J710" s="47"/>
      <c r="K710" s="50"/>
      <c r="L710" s="43" t="str">
        <f t="shared" si="1"/>
        <v/>
      </c>
      <c r="M710" s="44"/>
    </row>
    <row r="711" ht="15.75" customHeight="1">
      <c r="A711" s="48"/>
      <c r="B711" s="44"/>
      <c r="C711" s="31" t="str">
        <f t="array" ref="C711">IF(B711="","",IFERROR(INDEX(Listas!$Q$5:$Q$20,MATCH(B711,Listas!$P$5:$P$20,0)),""))</f>
        <v/>
      </c>
      <c r="D711" s="44"/>
      <c r="E711" s="44"/>
      <c r="F711" s="44"/>
      <c r="G711" s="44"/>
      <c r="H711" s="44"/>
      <c r="I711" s="49"/>
      <c r="J711" s="47"/>
      <c r="K711" s="50"/>
      <c r="L711" s="43" t="str">
        <f t="shared" si="1"/>
        <v/>
      </c>
      <c r="M711" s="44"/>
    </row>
    <row r="712" ht="15.75" customHeight="1">
      <c r="A712" s="48"/>
      <c r="B712" s="44"/>
      <c r="C712" s="31" t="str">
        <f t="array" ref="C712">IF(B712="","",IFERROR(INDEX(Listas!$Q$5:$Q$20,MATCH(B712,Listas!$P$5:$P$20,0)),""))</f>
        <v/>
      </c>
      <c r="D712" s="44"/>
      <c r="E712" s="44"/>
      <c r="F712" s="44"/>
      <c r="G712" s="44"/>
      <c r="H712" s="44"/>
      <c r="I712" s="49"/>
      <c r="J712" s="47"/>
      <c r="K712" s="50"/>
      <c r="L712" s="43" t="str">
        <f t="shared" si="1"/>
        <v/>
      </c>
      <c r="M712" s="44"/>
    </row>
    <row r="713" ht="15.75" customHeight="1">
      <c r="A713" s="48"/>
      <c r="B713" s="44"/>
      <c r="C713" s="31" t="str">
        <f t="array" ref="C713">IF(B713="","",IFERROR(INDEX(Listas!$Q$5:$Q$20,MATCH(B713,Listas!$P$5:$P$20,0)),""))</f>
        <v/>
      </c>
      <c r="D713" s="44"/>
      <c r="E713" s="44"/>
      <c r="F713" s="44"/>
      <c r="G713" s="44"/>
      <c r="H713" s="44"/>
      <c r="I713" s="49"/>
      <c r="J713" s="47"/>
      <c r="K713" s="50"/>
      <c r="L713" s="43" t="str">
        <f t="shared" si="1"/>
        <v/>
      </c>
      <c r="M713" s="44"/>
    </row>
    <row r="714" ht="15.75" customHeight="1">
      <c r="A714" s="48"/>
      <c r="B714" s="44"/>
      <c r="C714" s="31" t="str">
        <f t="array" ref="C714">IF(B714="","",IFERROR(INDEX(Listas!$Q$5:$Q$20,MATCH(B714,Listas!$P$5:$P$20,0)),""))</f>
        <v/>
      </c>
      <c r="D714" s="44"/>
      <c r="E714" s="44"/>
      <c r="F714" s="44"/>
      <c r="G714" s="44"/>
      <c r="H714" s="44"/>
      <c r="I714" s="49"/>
      <c r="J714" s="47"/>
      <c r="K714" s="50"/>
      <c r="L714" s="43" t="str">
        <f t="shared" si="1"/>
        <v/>
      </c>
      <c r="M714" s="44"/>
    </row>
    <row r="715" ht="15.75" customHeight="1">
      <c r="A715" s="48"/>
      <c r="B715" s="44"/>
      <c r="C715" s="31" t="str">
        <f t="array" ref="C715">IF(B715="","",IFERROR(INDEX(Listas!$Q$5:$Q$20,MATCH(B715,Listas!$P$5:$P$20,0)),""))</f>
        <v/>
      </c>
      <c r="D715" s="44"/>
      <c r="E715" s="44"/>
      <c r="F715" s="44"/>
      <c r="G715" s="44"/>
      <c r="H715" s="44"/>
      <c r="I715" s="49"/>
      <c r="J715" s="47"/>
      <c r="K715" s="50"/>
      <c r="L715" s="43" t="str">
        <f t="shared" si="1"/>
        <v/>
      </c>
      <c r="M715" s="44"/>
    </row>
    <row r="716" ht="15.75" customHeight="1">
      <c r="A716" s="48"/>
      <c r="B716" s="44"/>
      <c r="C716" s="31" t="str">
        <f t="array" ref="C716">IF(B716="","",IFERROR(INDEX(Listas!$Q$5:$Q$20,MATCH(B716,Listas!$P$5:$P$20,0)),""))</f>
        <v/>
      </c>
      <c r="D716" s="44"/>
      <c r="E716" s="44"/>
      <c r="F716" s="44"/>
      <c r="G716" s="44"/>
      <c r="H716" s="44"/>
      <c r="I716" s="49"/>
      <c r="J716" s="47"/>
      <c r="K716" s="50"/>
      <c r="L716" s="43" t="str">
        <f t="shared" si="1"/>
        <v/>
      </c>
      <c r="M716" s="44"/>
    </row>
    <row r="717" ht="15.75" customHeight="1">
      <c r="A717" s="48"/>
      <c r="B717" s="44"/>
      <c r="C717" s="31" t="str">
        <f t="array" ref="C717">IF(B717="","",IFERROR(INDEX(Listas!$Q$5:$Q$20,MATCH(B717,Listas!$P$5:$P$20,0)),""))</f>
        <v/>
      </c>
      <c r="D717" s="44"/>
      <c r="E717" s="44"/>
      <c r="F717" s="44"/>
      <c r="G717" s="44"/>
      <c r="H717" s="44"/>
      <c r="I717" s="49"/>
      <c r="J717" s="47"/>
      <c r="K717" s="50"/>
      <c r="L717" s="43" t="str">
        <f t="shared" si="1"/>
        <v/>
      </c>
      <c r="M717" s="44"/>
    </row>
    <row r="718" ht="15.75" customHeight="1">
      <c r="A718" s="48"/>
      <c r="B718" s="44"/>
      <c r="C718" s="31" t="str">
        <f t="array" ref="C718">IF(B718="","",IFERROR(INDEX(Listas!$Q$5:$Q$20,MATCH(B718,Listas!$P$5:$P$20,0)),""))</f>
        <v/>
      </c>
      <c r="D718" s="44"/>
      <c r="E718" s="44"/>
      <c r="F718" s="44"/>
      <c r="G718" s="44"/>
      <c r="H718" s="44"/>
      <c r="I718" s="49"/>
      <c r="J718" s="47"/>
      <c r="K718" s="50"/>
      <c r="L718" s="43" t="str">
        <f t="shared" si="1"/>
        <v/>
      </c>
      <c r="M718" s="44"/>
    </row>
    <row r="719" ht="15.75" customHeight="1">
      <c r="A719" s="48"/>
      <c r="B719" s="44"/>
      <c r="C719" s="31" t="str">
        <f t="array" ref="C719">IF(B719="","",IFERROR(INDEX(Listas!$Q$5:$Q$20,MATCH(B719,Listas!$P$5:$P$20,0)),""))</f>
        <v/>
      </c>
      <c r="D719" s="44"/>
      <c r="E719" s="44"/>
      <c r="F719" s="44"/>
      <c r="G719" s="44"/>
      <c r="H719" s="44"/>
      <c r="I719" s="49"/>
      <c r="J719" s="47"/>
      <c r="K719" s="50"/>
      <c r="L719" s="43" t="str">
        <f t="shared" si="1"/>
        <v/>
      </c>
      <c r="M719" s="44"/>
    </row>
    <row r="720" ht="15.75" customHeight="1">
      <c r="A720" s="48"/>
      <c r="B720" s="44"/>
      <c r="C720" s="31" t="str">
        <f t="array" ref="C720">IF(B720="","",IFERROR(INDEX(Listas!$Q$5:$Q$20,MATCH(B720,Listas!$P$5:$P$20,0)),""))</f>
        <v/>
      </c>
      <c r="D720" s="44"/>
      <c r="E720" s="44"/>
      <c r="F720" s="44"/>
      <c r="G720" s="44"/>
      <c r="H720" s="44"/>
      <c r="I720" s="49"/>
      <c r="J720" s="47"/>
      <c r="K720" s="50"/>
      <c r="L720" s="43" t="str">
        <f t="shared" si="1"/>
        <v/>
      </c>
      <c r="M720" s="44"/>
    </row>
    <row r="721" ht="15.75" customHeight="1">
      <c r="A721" s="48"/>
      <c r="B721" s="44"/>
      <c r="C721" s="31" t="str">
        <f t="array" ref="C721">IF(B721="","",IFERROR(INDEX(Listas!$Q$5:$Q$20,MATCH(B721,Listas!$P$5:$P$20,0)),""))</f>
        <v/>
      </c>
      <c r="D721" s="44"/>
      <c r="E721" s="44"/>
      <c r="F721" s="44"/>
      <c r="G721" s="44"/>
      <c r="H721" s="44"/>
      <c r="I721" s="49"/>
      <c r="J721" s="47"/>
      <c r="K721" s="50"/>
      <c r="L721" s="43" t="str">
        <f t="shared" si="1"/>
        <v/>
      </c>
      <c r="M721" s="44"/>
    </row>
    <row r="722" ht="15.75" customHeight="1">
      <c r="A722" s="48"/>
      <c r="B722" s="44"/>
      <c r="C722" s="31" t="str">
        <f t="array" ref="C722">IF(B722="","",IFERROR(INDEX(Listas!$Q$5:$Q$20,MATCH(B722,Listas!$P$5:$P$20,0)),""))</f>
        <v/>
      </c>
      <c r="D722" s="44"/>
      <c r="E722" s="44"/>
      <c r="F722" s="44"/>
      <c r="G722" s="44"/>
      <c r="H722" s="44"/>
      <c r="I722" s="49"/>
      <c r="J722" s="47"/>
      <c r="K722" s="50"/>
      <c r="L722" s="43" t="str">
        <f t="shared" si="1"/>
        <v/>
      </c>
      <c r="M722" s="44"/>
    </row>
    <row r="723" ht="15.75" customHeight="1">
      <c r="A723" s="48"/>
      <c r="B723" s="44"/>
      <c r="C723" s="31" t="str">
        <f t="array" ref="C723">IF(B723="","",IFERROR(INDEX(Listas!$Q$5:$Q$20,MATCH(B723,Listas!$P$5:$P$20,0)),""))</f>
        <v/>
      </c>
      <c r="D723" s="44"/>
      <c r="E723" s="44"/>
      <c r="F723" s="44"/>
      <c r="G723" s="44"/>
      <c r="H723" s="44"/>
      <c r="I723" s="49"/>
      <c r="J723" s="47"/>
      <c r="K723" s="50"/>
      <c r="L723" s="43" t="str">
        <f t="shared" si="1"/>
        <v/>
      </c>
      <c r="M723" s="44"/>
    </row>
    <row r="724" ht="15.75" customHeight="1">
      <c r="A724" s="48"/>
      <c r="B724" s="44"/>
      <c r="C724" s="31" t="str">
        <f t="array" ref="C724">IF(B724="","",IFERROR(INDEX(Listas!$Q$5:$Q$20,MATCH(B724,Listas!$P$5:$P$20,0)),""))</f>
        <v/>
      </c>
      <c r="D724" s="44"/>
      <c r="E724" s="44"/>
      <c r="F724" s="44"/>
      <c r="G724" s="44"/>
      <c r="H724" s="44"/>
      <c r="I724" s="49"/>
      <c r="J724" s="47"/>
      <c r="K724" s="50"/>
      <c r="L724" s="43" t="str">
        <f t="shared" si="1"/>
        <v/>
      </c>
      <c r="M724" s="44"/>
    </row>
    <row r="725" ht="15.75" customHeight="1">
      <c r="A725" s="48"/>
      <c r="B725" s="44"/>
      <c r="C725" s="31" t="str">
        <f t="array" ref="C725">IF(B725="","",IFERROR(INDEX(Listas!$Q$5:$Q$20,MATCH(B725,Listas!$P$5:$P$20,0)),""))</f>
        <v/>
      </c>
      <c r="D725" s="44"/>
      <c r="E725" s="44"/>
      <c r="F725" s="44"/>
      <c r="G725" s="44"/>
      <c r="H725" s="44"/>
      <c r="I725" s="49"/>
      <c r="J725" s="47"/>
      <c r="K725" s="50"/>
      <c r="L725" s="43" t="str">
        <f t="shared" si="1"/>
        <v/>
      </c>
      <c r="M725" s="44"/>
    </row>
    <row r="726" ht="15.75" customHeight="1">
      <c r="A726" s="48"/>
      <c r="B726" s="44"/>
      <c r="C726" s="31" t="str">
        <f t="array" ref="C726">IF(B726="","",IFERROR(INDEX(Listas!$Q$5:$Q$20,MATCH(B726,Listas!$P$5:$P$20,0)),""))</f>
        <v/>
      </c>
      <c r="D726" s="44"/>
      <c r="E726" s="44"/>
      <c r="F726" s="44"/>
      <c r="G726" s="44"/>
      <c r="H726" s="44"/>
      <c r="I726" s="49"/>
      <c r="J726" s="47"/>
      <c r="K726" s="50"/>
      <c r="L726" s="43" t="str">
        <f t="shared" si="1"/>
        <v/>
      </c>
      <c r="M726" s="44"/>
    </row>
    <row r="727" ht="15.75" customHeight="1">
      <c r="A727" s="48"/>
      <c r="B727" s="44"/>
      <c r="C727" s="31" t="str">
        <f t="array" ref="C727">IF(B727="","",IFERROR(INDEX(Listas!$Q$5:$Q$20,MATCH(B727,Listas!$P$5:$P$20,0)),""))</f>
        <v/>
      </c>
      <c r="D727" s="44"/>
      <c r="E727" s="44"/>
      <c r="F727" s="44"/>
      <c r="G727" s="44"/>
      <c r="H727" s="44"/>
      <c r="I727" s="49"/>
      <c r="J727" s="47"/>
      <c r="K727" s="50"/>
      <c r="L727" s="43" t="str">
        <f t="shared" si="1"/>
        <v/>
      </c>
      <c r="M727" s="44"/>
    </row>
    <row r="728" ht="15.75" customHeight="1">
      <c r="A728" s="48"/>
      <c r="B728" s="44"/>
      <c r="C728" s="31" t="str">
        <f t="array" ref="C728">IF(B728="","",IFERROR(INDEX(Listas!$Q$5:$Q$20,MATCH(B728,Listas!$P$5:$P$20,0)),""))</f>
        <v/>
      </c>
      <c r="D728" s="44"/>
      <c r="E728" s="44"/>
      <c r="F728" s="44"/>
      <c r="G728" s="44"/>
      <c r="H728" s="44"/>
      <c r="I728" s="49"/>
      <c r="J728" s="47"/>
      <c r="K728" s="50"/>
      <c r="L728" s="43" t="str">
        <f t="shared" si="1"/>
        <v/>
      </c>
      <c r="M728" s="44"/>
    </row>
    <row r="729" ht="15.75" customHeight="1">
      <c r="A729" s="48"/>
      <c r="B729" s="44"/>
      <c r="C729" s="31" t="str">
        <f t="array" ref="C729">IF(B729="","",IFERROR(INDEX(Listas!$Q$5:$Q$20,MATCH(B729,Listas!$P$5:$P$20,0)),""))</f>
        <v/>
      </c>
      <c r="D729" s="44"/>
      <c r="E729" s="44"/>
      <c r="F729" s="44"/>
      <c r="G729" s="44"/>
      <c r="H729" s="44"/>
      <c r="I729" s="49"/>
      <c r="J729" s="47"/>
      <c r="K729" s="50"/>
      <c r="L729" s="43" t="str">
        <f t="shared" si="1"/>
        <v/>
      </c>
      <c r="M729" s="44"/>
    </row>
    <row r="730" ht="15.75" customHeight="1">
      <c r="A730" s="48"/>
      <c r="B730" s="44"/>
      <c r="C730" s="31" t="str">
        <f t="array" ref="C730">IF(B730="","",IFERROR(INDEX(Listas!$Q$5:$Q$20,MATCH(B730,Listas!$P$5:$P$20,0)),""))</f>
        <v/>
      </c>
      <c r="D730" s="44"/>
      <c r="E730" s="44"/>
      <c r="F730" s="44"/>
      <c r="G730" s="44"/>
      <c r="H730" s="44"/>
      <c r="I730" s="49"/>
      <c r="J730" s="47"/>
      <c r="K730" s="50"/>
      <c r="L730" s="43" t="str">
        <f t="shared" si="1"/>
        <v/>
      </c>
      <c r="M730" s="44"/>
    </row>
    <row r="731" ht="15.75" customHeight="1">
      <c r="A731" s="48"/>
      <c r="B731" s="44"/>
      <c r="C731" s="31" t="str">
        <f t="array" ref="C731">IF(B731="","",IFERROR(INDEX(Listas!$Q$5:$Q$20,MATCH(B731,Listas!$P$5:$P$20,0)),""))</f>
        <v/>
      </c>
      <c r="D731" s="44"/>
      <c r="E731" s="44"/>
      <c r="F731" s="44"/>
      <c r="G731" s="44"/>
      <c r="H731" s="44"/>
      <c r="I731" s="49"/>
      <c r="J731" s="47"/>
      <c r="K731" s="50"/>
      <c r="L731" s="43" t="str">
        <f t="shared" si="1"/>
        <v/>
      </c>
      <c r="M731" s="44"/>
    </row>
    <row r="732" ht="15.75" customHeight="1">
      <c r="A732" s="48"/>
      <c r="B732" s="44"/>
      <c r="C732" s="31" t="str">
        <f t="array" ref="C732">IF(B732="","",IFERROR(INDEX(Listas!$Q$5:$Q$20,MATCH(B732,Listas!$P$5:$P$20,0)),""))</f>
        <v/>
      </c>
      <c r="D732" s="44"/>
      <c r="E732" s="44"/>
      <c r="F732" s="44"/>
      <c r="G732" s="44"/>
      <c r="H732" s="44"/>
      <c r="I732" s="49"/>
      <c r="J732" s="47"/>
      <c r="K732" s="50"/>
      <c r="L732" s="43" t="str">
        <f t="shared" si="1"/>
        <v/>
      </c>
      <c r="M732" s="44"/>
    </row>
    <row r="733" ht="15.75" customHeight="1">
      <c r="A733" s="48"/>
      <c r="B733" s="44"/>
      <c r="C733" s="31" t="str">
        <f t="array" ref="C733">IF(B733="","",IFERROR(INDEX(Listas!$Q$5:$Q$20,MATCH(B733,Listas!$P$5:$P$20,0)),""))</f>
        <v/>
      </c>
      <c r="D733" s="44"/>
      <c r="E733" s="44"/>
      <c r="F733" s="44"/>
      <c r="G733" s="44"/>
      <c r="H733" s="44"/>
      <c r="I733" s="49"/>
      <c r="J733" s="47"/>
      <c r="K733" s="50"/>
      <c r="L733" s="43" t="str">
        <f t="shared" si="1"/>
        <v/>
      </c>
      <c r="M733" s="44"/>
    </row>
    <row r="734" ht="15.75" customHeight="1">
      <c r="A734" s="48"/>
      <c r="B734" s="44"/>
      <c r="C734" s="31" t="str">
        <f t="array" ref="C734">IF(B734="","",IFERROR(INDEX(Listas!$Q$5:$Q$20,MATCH(B734,Listas!$P$5:$P$20,0)),""))</f>
        <v/>
      </c>
      <c r="D734" s="44"/>
      <c r="E734" s="44"/>
      <c r="F734" s="44"/>
      <c r="G734" s="44"/>
      <c r="H734" s="44"/>
      <c r="I734" s="49"/>
      <c r="J734" s="47"/>
      <c r="K734" s="50"/>
      <c r="L734" s="43" t="str">
        <f t="shared" si="1"/>
        <v/>
      </c>
      <c r="M734" s="44"/>
    </row>
    <row r="735" ht="15.75" customHeight="1">
      <c r="A735" s="48"/>
      <c r="B735" s="44"/>
      <c r="C735" s="31" t="str">
        <f t="array" ref="C735">IF(B735="","",IFERROR(INDEX(Listas!$Q$5:$Q$20,MATCH(B735,Listas!$P$5:$P$20,0)),""))</f>
        <v/>
      </c>
      <c r="D735" s="44"/>
      <c r="E735" s="44"/>
      <c r="F735" s="44"/>
      <c r="G735" s="44"/>
      <c r="H735" s="44"/>
      <c r="I735" s="49"/>
      <c r="J735" s="47"/>
      <c r="K735" s="50"/>
      <c r="L735" s="43" t="str">
        <f t="shared" si="1"/>
        <v/>
      </c>
      <c r="M735" s="44"/>
    </row>
    <row r="736" ht="15.75" customHeight="1">
      <c r="A736" s="48"/>
      <c r="B736" s="44"/>
      <c r="C736" s="31" t="str">
        <f t="array" ref="C736">IF(B736="","",IFERROR(INDEX(Listas!$Q$5:$Q$20,MATCH(B736,Listas!$P$5:$P$20,0)),""))</f>
        <v/>
      </c>
      <c r="D736" s="44"/>
      <c r="E736" s="44"/>
      <c r="F736" s="44"/>
      <c r="G736" s="44"/>
      <c r="H736" s="44"/>
      <c r="I736" s="49"/>
      <c r="J736" s="47"/>
      <c r="K736" s="50"/>
      <c r="L736" s="43" t="str">
        <f t="shared" si="1"/>
        <v/>
      </c>
      <c r="M736" s="44"/>
    </row>
    <row r="737" ht="15.75" customHeight="1">
      <c r="A737" s="48"/>
      <c r="B737" s="44"/>
      <c r="C737" s="31" t="str">
        <f t="array" ref="C737">IF(B737="","",IFERROR(INDEX(Listas!$Q$5:$Q$20,MATCH(B737,Listas!$P$5:$P$20,0)),""))</f>
        <v/>
      </c>
      <c r="D737" s="44"/>
      <c r="E737" s="44"/>
      <c r="F737" s="44"/>
      <c r="G737" s="44"/>
      <c r="H737" s="44"/>
      <c r="I737" s="49"/>
      <c r="J737" s="47"/>
      <c r="K737" s="50"/>
      <c r="L737" s="43" t="str">
        <f t="shared" si="1"/>
        <v/>
      </c>
      <c r="M737" s="44"/>
    </row>
    <row r="738" ht="15.75" customHeight="1">
      <c r="A738" s="48"/>
      <c r="B738" s="44"/>
      <c r="C738" s="31" t="str">
        <f t="array" ref="C738">IF(B738="","",IFERROR(INDEX(Listas!$Q$5:$Q$20,MATCH(B738,Listas!$P$5:$P$20,0)),""))</f>
        <v/>
      </c>
      <c r="D738" s="44"/>
      <c r="E738" s="44"/>
      <c r="F738" s="44"/>
      <c r="G738" s="44"/>
      <c r="H738" s="44"/>
      <c r="I738" s="49"/>
      <c r="J738" s="47"/>
      <c r="K738" s="50"/>
      <c r="L738" s="43" t="str">
        <f t="shared" si="1"/>
        <v/>
      </c>
      <c r="M738" s="44"/>
    </row>
    <row r="739" ht="15.75" customHeight="1">
      <c r="A739" s="48"/>
      <c r="B739" s="44"/>
      <c r="C739" s="31" t="str">
        <f t="array" ref="C739">IF(B739="","",IFERROR(INDEX(Listas!$Q$5:$Q$20,MATCH(B739,Listas!$P$5:$P$20,0)),""))</f>
        <v/>
      </c>
      <c r="D739" s="44"/>
      <c r="E739" s="44"/>
      <c r="F739" s="44"/>
      <c r="G739" s="44"/>
      <c r="H739" s="44"/>
      <c r="I739" s="49"/>
      <c r="J739" s="47"/>
      <c r="K739" s="50"/>
      <c r="L739" s="43" t="str">
        <f t="shared" si="1"/>
        <v/>
      </c>
      <c r="M739" s="44"/>
    </row>
    <row r="740" ht="15.75" customHeight="1">
      <c r="A740" s="48"/>
      <c r="B740" s="44"/>
      <c r="C740" s="31" t="str">
        <f t="array" ref="C740">IF(B740="","",IFERROR(INDEX(Listas!$Q$5:$Q$20,MATCH(B740,Listas!$P$5:$P$20,0)),""))</f>
        <v/>
      </c>
      <c r="D740" s="44"/>
      <c r="E740" s="44"/>
      <c r="F740" s="44"/>
      <c r="G740" s="44"/>
      <c r="H740" s="44"/>
      <c r="I740" s="49"/>
      <c r="J740" s="47"/>
      <c r="K740" s="50"/>
      <c r="L740" s="43" t="str">
        <f t="shared" si="1"/>
        <v/>
      </c>
      <c r="M740" s="44"/>
    </row>
    <row r="741" ht="15.75" customHeight="1">
      <c r="A741" s="48"/>
      <c r="B741" s="44"/>
      <c r="C741" s="31" t="str">
        <f t="array" ref="C741">IF(B741="","",IFERROR(INDEX(Listas!$Q$5:$Q$20,MATCH(B741,Listas!$P$5:$P$20,0)),""))</f>
        <v/>
      </c>
      <c r="D741" s="44"/>
      <c r="E741" s="44"/>
      <c r="F741" s="44"/>
      <c r="G741" s="44"/>
      <c r="H741" s="44"/>
      <c r="I741" s="49"/>
      <c r="J741" s="47"/>
      <c r="K741" s="50"/>
      <c r="L741" s="43" t="str">
        <f t="shared" si="1"/>
        <v/>
      </c>
      <c r="M741" s="44"/>
    </row>
    <row r="742" ht="15.75" customHeight="1">
      <c r="A742" s="48"/>
      <c r="B742" s="44"/>
      <c r="C742" s="31" t="str">
        <f t="array" ref="C742">IF(B742="","",IFERROR(INDEX(Listas!$Q$5:$Q$20,MATCH(B742,Listas!$P$5:$P$20,0)),""))</f>
        <v/>
      </c>
      <c r="D742" s="44"/>
      <c r="E742" s="44"/>
      <c r="F742" s="44"/>
      <c r="G742" s="44"/>
      <c r="H742" s="44"/>
      <c r="I742" s="49"/>
      <c r="J742" s="47"/>
      <c r="K742" s="50"/>
      <c r="L742" s="43" t="str">
        <f t="shared" si="1"/>
        <v/>
      </c>
      <c r="M742" s="44"/>
    </row>
    <row r="743" ht="15.75" customHeight="1">
      <c r="A743" s="48"/>
      <c r="B743" s="44"/>
      <c r="C743" s="31" t="str">
        <f t="array" ref="C743">IF(B743="","",IFERROR(INDEX(Listas!$Q$5:$Q$20,MATCH(B743,Listas!$P$5:$P$20,0)),""))</f>
        <v/>
      </c>
      <c r="D743" s="44"/>
      <c r="E743" s="44"/>
      <c r="F743" s="44"/>
      <c r="G743" s="44"/>
      <c r="H743" s="44"/>
      <c r="I743" s="49"/>
      <c r="J743" s="47"/>
      <c r="K743" s="50"/>
      <c r="L743" s="43" t="str">
        <f t="shared" si="1"/>
        <v/>
      </c>
      <c r="M743" s="44"/>
    </row>
    <row r="744" ht="15.75" customHeight="1">
      <c r="A744" s="48"/>
      <c r="B744" s="44"/>
      <c r="C744" s="31" t="str">
        <f t="array" ref="C744">IF(B744="","",IFERROR(INDEX(Listas!$Q$5:$Q$20,MATCH(B744,Listas!$P$5:$P$20,0)),""))</f>
        <v/>
      </c>
      <c r="D744" s="44"/>
      <c r="E744" s="44"/>
      <c r="F744" s="44"/>
      <c r="G744" s="44"/>
      <c r="H744" s="44"/>
      <c r="I744" s="49"/>
      <c r="J744" s="47"/>
      <c r="K744" s="50"/>
      <c r="L744" s="43" t="str">
        <f t="shared" si="1"/>
        <v/>
      </c>
      <c r="M744" s="44"/>
    </row>
    <row r="745" ht="15.75" customHeight="1">
      <c r="A745" s="48"/>
      <c r="B745" s="44"/>
      <c r="C745" s="31" t="str">
        <f t="array" ref="C745">IF(B745="","",IFERROR(INDEX(Listas!$Q$5:$Q$20,MATCH(B745,Listas!$P$5:$P$20,0)),""))</f>
        <v/>
      </c>
      <c r="D745" s="44"/>
      <c r="E745" s="44"/>
      <c r="F745" s="44"/>
      <c r="G745" s="44"/>
      <c r="H745" s="44"/>
      <c r="I745" s="49"/>
      <c r="J745" s="47"/>
      <c r="K745" s="50"/>
      <c r="L745" s="43" t="str">
        <f t="shared" si="1"/>
        <v/>
      </c>
      <c r="M745" s="44"/>
    </row>
    <row r="746" ht="15.75" customHeight="1">
      <c r="A746" s="48"/>
      <c r="B746" s="44"/>
      <c r="C746" s="31" t="str">
        <f t="array" ref="C746">IF(B746="","",IFERROR(INDEX(Listas!$Q$5:$Q$20,MATCH(B746,Listas!$P$5:$P$20,0)),""))</f>
        <v/>
      </c>
      <c r="D746" s="44"/>
      <c r="E746" s="44"/>
      <c r="F746" s="44"/>
      <c r="G746" s="44"/>
      <c r="H746" s="44"/>
      <c r="I746" s="49"/>
      <c r="J746" s="47"/>
      <c r="K746" s="50"/>
      <c r="L746" s="43" t="str">
        <f t="shared" si="1"/>
        <v/>
      </c>
      <c r="M746" s="44"/>
    </row>
    <row r="747" ht="15.75" customHeight="1">
      <c r="A747" s="48"/>
      <c r="B747" s="44"/>
      <c r="C747" s="31" t="str">
        <f t="array" ref="C747">IF(B747="","",IFERROR(INDEX(Listas!$Q$5:$Q$20,MATCH(B747,Listas!$P$5:$P$20,0)),""))</f>
        <v/>
      </c>
      <c r="D747" s="44"/>
      <c r="E747" s="44"/>
      <c r="F747" s="44"/>
      <c r="G747" s="44"/>
      <c r="H747" s="44"/>
      <c r="I747" s="49"/>
      <c r="J747" s="47"/>
      <c r="K747" s="50"/>
      <c r="L747" s="43" t="str">
        <f t="shared" si="1"/>
        <v/>
      </c>
      <c r="M747" s="44"/>
    </row>
    <row r="748" ht="15.75" customHeight="1">
      <c r="A748" s="48"/>
      <c r="B748" s="44"/>
      <c r="C748" s="31" t="str">
        <f t="array" ref="C748">IF(B748="","",IFERROR(INDEX(Listas!$Q$5:$Q$20,MATCH(B748,Listas!$P$5:$P$20,0)),""))</f>
        <v/>
      </c>
      <c r="D748" s="44"/>
      <c r="E748" s="44"/>
      <c r="F748" s="44"/>
      <c r="G748" s="44"/>
      <c r="H748" s="44"/>
      <c r="I748" s="49"/>
      <c r="J748" s="47"/>
      <c r="K748" s="50"/>
      <c r="L748" s="43" t="str">
        <f t="shared" si="1"/>
        <v/>
      </c>
      <c r="M748" s="44"/>
    </row>
    <row r="749" ht="15.75" customHeight="1">
      <c r="A749" s="48"/>
      <c r="B749" s="44"/>
      <c r="C749" s="31" t="str">
        <f t="array" ref="C749">IF(B749="","",IFERROR(INDEX(Listas!$Q$5:$Q$20,MATCH(B749,Listas!$P$5:$P$20,0)),""))</f>
        <v/>
      </c>
      <c r="D749" s="44"/>
      <c r="E749" s="44"/>
      <c r="F749" s="44"/>
      <c r="G749" s="44"/>
      <c r="H749" s="44"/>
      <c r="I749" s="49"/>
      <c r="J749" s="47"/>
      <c r="K749" s="50"/>
      <c r="L749" s="43" t="str">
        <f t="shared" si="1"/>
        <v/>
      </c>
      <c r="M749" s="44"/>
    </row>
    <row r="750" ht="15.75" customHeight="1">
      <c r="A750" s="48"/>
      <c r="B750" s="44"/>
      <c r="C750" s="31" t="str">
        <f t="array" ref="C750">IF(B750="","",IFERROR(INDEX(Listas!$Q$5:$Q$20,MATCH(B750,Listas!$P$5:$P$20,0)),""))</f>
        <v/>
      </c>
      <c r="D750" s="44"/>
      <c r="E750" s="44"/>
      <c r="F750" s="44"/>
      <c r="G750" s="44"/>
      <c r="H750" s="44"/>
      <c r="I750" s="49"/>
      <c r="J750" s="47"/>
      <c r="K750" s="50"/>
      <c r="L750" s="43" t="str">
        <f t="shared" si="1"/>
        <v/>
      </c>
      <c r="M750" s="44"/>
    </row>
    <row r="751" ht="15.75" customHeight="1">
      <c r="A751" s="48"/>
      <c r="B751" s="44"/>
      <c r="C751" s="31" t="str">
        <f t="array" ref="C751">IF(B751="","",IFERROR(INDEX(Listas!$Q$5:$Q$20,MATCH(B751,Listas!$P$5:$P$20,0)),""))</f>
        <v/>
      </c>
      <c r="D751" s="44"/>
      <c r="E751" s="44"/>
      <c r="F751" s="44"/>
      <c r="G751" s="44"/>
      <c r="H751" s="44"/>
      <c r="I751" s="49"/>
      <c r="J751" s="47"/>
      <c r="K751" s="50"/>
      <c r="L751" s="43" t="str">
        <f t="shared" si="1"/>
        <v/>
      </c>
      <c r="M751" s="44"/>
    </row>
    <row r="752" ht="15.75" customHeight="1">
      <c r="A752" s="48"/>
      <c r="B752" s="44"/>
      <c r="C752" s="31" t="str">
        <f t="array" ref="C752">IF(B752="","",IFERROR(INDEX(Listas!$Q$5:$Q$20,MATCH(B752,Listas!$P$5:$P$20,0)),""))</f>
        <v/>
      </c>
      <c r="D752" s="44"/>
      <c r="E752" s="44"/>
      <c r="F752" s="44"/>
      <c r="G752" s="44"/>
      <c r="H752" s="44"/>
      <c r="I752" s="49"/>
      <c r="J752" s="47"/>
      <c r="K752" s="50"/>
      <c r="L752" s="43" t="str">
        <f t="shared" si="1"/>
        <v/>
      </c>
      <c r="M752" s="44"/>
    </row>
    <row r="753" ht="15.75" customHeight="1">
      <c r="A753" s="48"/>
      <c r="B753" s="44"/>
      <c r="C753" s="31" t="str">
        <f t="array" ref="C753">IF(B753="","",IFERROR(INDEX(Listas!$Q$5:$Q$20,MATCH(B753,Listas!$P$5:$P$20,0)),""))</f>
        <v/>
      </c>
      <c r="D753" s="44"/>
      <c r="E753" s="44"/>
      <c r="F753" s="44"/>
      <c r="G753" s="44"/>
      <c r="H753" s="44"/>
      <c r="I753" s="49"/>
      <c r="J753" s="47"/>
      <c r="K753" s="50"/>
      <c r="L753" s="43" t="str">
        <f t="shared" si="1"/>
        <v/>
      </c>
      <c r="M753" s="44"/>
    </row>
    <row r="754" ht="15.75" customHeight="1">
      <c r="A754" s="48"/>
      <c r="B754" s="44"/>
      <c r="C754" s="31" t="str">
        <f t="array" ref="C754">IF(B754="","",IFERROR(INDEX(Listas!$Q$5:$Q$20,MATCH(B754,Listas!$P$5:$P$20,0)),""))</f>
        <v/>
      </c>
      <c r="D754" s="44"/>
      <c r="E754" s="44"/>
      <c r="F754" s="44"/>
      <c r="G754" s="44"/>
      <c r="H754" s="44"/>
      <c r="I754" s="49"/>
      <c r="J754" s="47"/>
      <c r="K754" s="50"/>
      <c r="L754" s="43" t="str">
        <f t="shared" si="1"/>
        <v/>
      </c>
      <c r="M754" s="44"/>
    </row>
    <row r="755" ht="15.75" customHeight="1">
      <c r="A755" s="48"/>
      <c r="B755" s="44"/>
      <c r="C755" s="31" t="str">
        <f t="array" ref="C755">IF(B755="","",IFERROR(INDEX(Listas!$Q$5:$Q$20,MATCH(B755,Listas!$P$5:$P$20,0)),""))</f>
        <v/>
      </c>
      <c r="D755" s="44"/>
      <c r="E755" s="44"/>
      <c r="F755" s="44"/>
      <c r="G755" s="44"/>
      <c r="H755" s="44"/>
      <c r="I755" s="49"/>
      <c r="J755" s="47"/>
      <c r="K755" s="50"/>
      <c r="L755" s="43" t="str">
        <f t="shared" si="1"/>
        <v/>
      </c>
      <c r="M755" s="44"/>
    </row>
    <row r="756" ht="15.75" customHeight="1">
      <c r="A756" s="48"/>
      <c r="B756" s="44"/>
      <c r="C756" s="31" t="str">
        <f t="array" ref="C756">IF(B756="","",IFERROR(INDEX(Listas!$Q$5:$Q$20,MATCH(B756,Listas!$P$5:$P$20,0)),""))</f>
        <v/>
      </c>
      <c r="D756" s="44"/>
      <c r="E756" s="44"/>
      <c r="F756" s="44"/>
      <c r="G756" s="44"/>
      <c r="H756" s="44"/>
      <c r="I756" s="49"/>
      <c r="J756" s="47"/>
      <c r="K756" s="50"/>
      <c r="L756" s="43" t="str">
        <f t="shared" si="1"/>
        <v/>
      </c>
      <c r="M756" s="44"/>
    </row>
    <row r="757" ht="15.75" customHeight="1">
      <c r="A757" s="48"/>
      <c r="B757" s="44"/>
      <c r="C757" s="31" t="str">
        <f t="array" ref="C757">IF(B757="","",IFERROR(INDEX(Listas!$Q$5:$Q$20,MATCH(B757,Listas!$P$5:$P$20,0)),""))</f>
        <v/>
      </c>
      <c r="D757" s="44"/>
      <c r="E757" s="44"/>
      <c r="F757" s="44"/>
      <c r="G757" s="44"/>
      <c r="H757" s="44"/>
      <c r="I757" s="49"/>
      <c r="J757" s="47"/>
      <c r="K757" s="50"/>
      <c r="L757" s="43" t="str">
        <f t="shared" si="1"/>
        <v/>
      </c>
      <c r="M757" s="44"/>
    </row>
    <row r="758" ht="15.75" customHeight="1">
      <c r="A758" s="48"/>
      <c r="B758" s="44"/>
      <c r="C758" s="31" t="str">
        <f t="array" ref="C758">IF(B758="","",IFERROR(INDEX(Listas!$Q$5:$Q$20,MATCH(B758,Listas!$P$5:$P$20,0)),""))</f>
        <v/>
      </c>
      <c r="D758" s="44"/>
      <c r="E758" s="44"/>
      <c r="F758" s="44"/>
      <c r="G758" s="44"/>
      <c r="H758" s="44"/>
      <c r="I758" s="49"/>
      <c r="J758" s="47"/>
      <c r="K758" s="50"/>
      <c r="L758" s="43" t="str">
        <f t="shared" si="1"/>
        <v/>
      </c>
      <c r="M758" s="44"/>
    </row>
    <row r="759" ht="15.75" customHeight="1">
      <c r="A759" s="48"/>
      <c r="B759" s="44"/>
      <c r="C759" s="31" t="str">
        <f t="array" ref="C759">IF(B759="","",IFERROR(INDEX(Listas!$Q$5:$Q$20,MATCH(B759,Listas!$P$5:$P$20,0)),""))</f>
        <v/>
      </c>
      <c r="D759" s="44"/>
      <c r="E759" s="44"/>
      <c r="F759" s="44"/>
      <c r="G759" s="44"/>
      <c r="H759" s="44"/>
      <c r="I759" s="49"/>
      <c r="J759" s="47"/>
      <c r="K759" s="50"/>
      <c r="L759" s="43" t="str">
        <f t="shared" si="1"/>
        <v/>
      </c>
      <c r="M759" s="44"/>
    </row>
    <row r="760" ht="15.75" customHeight="1">
      <c r="A760" s="48"/>
      <c r="B760" s="44"/>
      <c r="C760" s="31" t="str">
        <f t="array" ref="C760">IF(B760="","",IFERROR(INDEX(Listas!$Q$5:$Q$20,MATCH(B760,Listas!$P$5:$P$20,0)),""))</f>
        <v/>
      </c>
      <c r="D760" s="44"/>
      <c r="E760" s="44"/>
      <c r="F760" s="44"/>
      <c r="G760" s="44"/>
      <c r="H760" s="44"/>
      <c r="I760" s="49"/>
      <c r="J760" s="47"/>
      <c r="K760" s="50"/>
      <c r="L760" s="43" t="str">
        <f t="shared" si="1"/>
        <v/>
      </c>
      <c r="M760" s="44"/>
    </row>
    <row r="761" ht="15.75" customHeight="1">
      <c r="A761" s="48"/>
      <c r="B761" s="44"/>
      <c r="C761" s="31" t="str">
        <f t="array" ref="C761">IF(B761="","",IFERROR(INDEX(Listas!$Q$5:$Q$20,MATCH(B761,Listas!$P$5:$P$20,0)),""))</f>
        <v/>
      </c>
      <c r="D761" s="44"/>
      <c r="E761" s="44"/>
      <c r="F761" s="44"/>
      <c r="G761" s="44"/>
      <c r="H761" s="44"/>
      <c r="I761" s="49"/>
      <c r="J761" s="47"/>
      <c r="K761" s="50"/>
      <c r="L761" s="43" t="str">
        <f t="shared" si="1"/>
        <v/>
      </c>
      <c r="M761" s="44"/>
    </row>
    <row r="762" ht="15.75" customHeight="1">
      <c r="A762" s="48"/>
      <c r="B762" s="44"/>
      <c r="C762" s="31" t="str">
        <f t="array" ref="C762">IF(B762="","",IFERROR(INDEX(Listas!$Q$5:$Q$20,MATCH(B762,Listas!$P$5:$P$20,0)),""))</f>
        <v/>
      </c>
      <c r="D762" s="44"/>
      <c r="E762" s="44"/>
      <c r="F762" s="44"/>
      <c r="G762" s="44"/>
      <c r="H762" s="44"/>
      <c r="I762" s="49"/>
      <c r="J762" s="47"/>
      <c r="K762" s="50"/>
      <c r="L762" s="43" t="str">
        <f t="shared" si="1"/>
        <v/>
      </c>
      <c r="M762" s="44"/>
    </row>
    <row r="763" ht="15.75" customHeight="1">
      <c r="A763" s="48"/>
      <c r="B763" s="44"/>
      <c r="C763" s="31" t="str">
        <f t="array" ref="C763">IF(B763="","",IFERROR(INDEX(Listas!$Q$5:$Q$20,MATCH(B763,Listas!$P$5:$P$20,0)),""))</f>
        <v/>
      </c>
      <c r="D763" s="44"/>
      <c r="E763" s="44"/>
      <c r="F763" s="44"/>
      <c r="G763" s="44"/>
      <c r="H763" s="44"/>
      <c r="I763" s="49"/>
      <c r="J763" s="47"/>
      <c r="K763" s="50"/>
      <c r="L763" s="43" t="str">
        <f t="shared" si="1"/>
        <v/>
      </c>
      <c r="M763" s="44"/>
    </row>
    <row r="764" ht="15.75" customHeight="1">
      <c r="A764" s="48"/>
      <c r="B764" s="44"/>
      <c r="C764" s="31" t="str">
        <f t="array" ref="C764">IF(B764="","",IFERROR(INDEX(Listas!$Q$5:$Q$20,MATCH(B764,Listas!$P$5:$P$20,0)),""))</f>
        <v/>
      </c>
      <c r="D764" s="44"/>
      <c r="E764" s="44"/>
      <c r="F764" s="44"/>
      <c r="G764" s="44"/>
      <c r="H764" s="44"/>
      <c r="I764" s="49"/>
      <c r="J764" s="47"/>
      <c r="K764" s="50"/>
      <c r="L764" s="43" t="str">
        <f t="shared" si="1"/>
        <v/>
      </c>
      <c r="M764" s="44"/>
    </row>
    <row r="765" ht="15.75" customHeight="1">
      <c r="A765" s="48"/>
      <c r="B765" s="44"/>
      <c r="C765" s="31" t="str">
        <f t="array" ref="C765">IF(B765="","",IFERROR(INDEX(Listas!$Q$5:$Q$20,MATCH(B765,Listas!$P$5:$P$20,0)),""))</f>
        <v/>
      </c>
      <c r="D765" s="44"/>
      <c r="E765" s="44"/>
      <c r="F765" s="44"/>
      <c r="G765" s="44"/>
      <c r="H765" s="44"/>
      <c r="I765" s="49"/>
      <c r="J765" s="47"/>
      <c r="K765" s="50"/>
      <c r="L765" s="43" t="str">
        <f t="shared" si="1"/>
        <v/>
      </c>
      <c r="M765" s="44"/>
    </row>
    <row r="766" ht="15.75" customHeight="1">
      <c r="A766" s="48"/>
      <c r="B766" s="44"/>
      <c r="C766" s="31" t="str">
        <f t="array" ref="C766">IF(B766="","",IFERROR(INDEX(Listas!$Q$5:$Q$20,MATCH(B766,Listas!$P$5:$P$20,0)),""))</f>
        <v/>
      </c>
      <c r="D766" s="44"/>
      <c r="E766" s="44"/>
      <c r="F766" s="44"/>
      <c r="G766" s="44"/>
      <c r="H766" s="44"/>
      <c r="I766" s="49"/>
      <c r="J766" s="47"/>
      <c r="K766" s="50"/>
      <c r="L766" s="43" t="str">
        <f t="shared" si="1"/>
        <v/>
      </c>
      <c r="M766" s="44"/>
    </row>
    <row r="767" ht="15.75" customHeight="1">
      <c r="A767" s="48"/>
      <c r="B767" s="44"/>
      <c r="C767" s="31" t="str">
        <f t="array" ref="C767">IF(B767="","",IFERROR(INDEX(Listas!$Q$5:$Q$20,MATCH(B767,Listas!$P$5:$P$20,0)),""))</f>
        <v/>
      </c>
      <c r="D767" s="44"/>
      <c r="E767" s="44"/>
      <c r="F767" s="44"/>
      <c r="G767" s="44"/>
      <c r="H767" s="44"/>
      <c r="I767" s="49"/>
      <c r="J767" s="47"/>
      <c r="K767" s="50"/>
      <c r="L767" s="43" t="str">
        <f t="shared" si="1"/>
        <v/>
      </c>
      <c r="M767" s="44"/>
    </row>
    <row r="768" ht="15.75" customHeight="1">
      <c r="A768" s="48"/>
      <c r="B768" s="44"/>
      <c r="C768" s="31" t="str">
        <f t="array" ref="C768">IF(B768="","",IFERROR(INDEX(Listas!$Q$5:$Q$20,MATCH(B768,Listas!$P$5:$P$20,0)),""))</f>
        <v/>
      </c>
      <c r="D768" s="44"/>
      <c r="E768" s="44"/>
      <c r="F768" s="44"/>
      <c r="G768" s="44"/>
      <c r="H768" s="44"/>
      <c r="I768" s="49"/>
      <c r="J768" s="47"/>
      <c r="K768" s="50"/>
      <c r="L768" s="43" t="str">
        <f t="shared" si="1"/>
        <v/>
      </c>
      <c r="M768" s="44"/>
    </row>
    <row r="769" ht="15.75" customHeight="1">
      <c r="A769" s="48"/>
      <c r="B769" s="44"/>
      <c r="C769" s="31" t="str">
        <f t="array" ref="C769">IF(B769="","",IFERROR(INDEX(Listas!$Q$5:$Q$20,MATCH(B769,Listas!$P$5:$P$20,0)),""))</f>
        <v/>
      </c>
      <c r="D769" s="44"/>
      <c r="E769" s="44"/>
      <c r="F769" s="44"/>
      <c r="G769" s="44"/>
      <c r="H769" s="44"/>
      <c r="I769" s="49"/>
      <c r="J769" s="47"/>
      <c r="K769" s="50"/>
      <c r="L769" s="43" t="str">
        <f t="shared" si="1"/>
        <v/>
      </c>
      <c r="M769" s="44"/>
    </row>
    <row r="770" ht="15.75" customHeight="1">
      <c r="A770" s="48"/>
      <c r="B770" s="44"/>
      <c r="C770" s="31" t="str">
        <f t="array" ref="C770">IF(B770="","",IFERROR(INDEX(Listas!$Q$5:$Q$20,MATCH(B770,Listas!$P$5:$P$20,0)),""))</f>
        <v/>
      </c>
      <c r="D770" s="44"/>
      <c r="E770" s="44"/>
      <c r="F770" s="44"/>
      <c r="G770" s="44"/>
      <c r="H770" s="44"/>
      <c r="I770" s="49"/>
      <c r="J770" s="47"/>
      <c r="K770" s="50"/>
      <c r="L770" s="43" t="str">
        <f t="shared" si="1"/>
        <v/>
      </c>
      <c r="M770" s="44"/>
    </row>
    <row r="771" ht="15.75" customHeight="1">
      <c r="A771" s="48"/>
      <c r="B771" s="44"/>
      <c r="C771" s="31" t="str">
        <f t="array" ref="C771">IF(B771="","",IFERROR(INDEX(Listas!$Q$5:$Q$20,MATCH(B771,Listas!$P$5:$P$20,0)),""))</f>
        <v/>
      </c>
      <c r="D771" s="44"/>
      <c r="E771" s="44"/>
      <c r="F771" s="44"/>
      <c r="G771" s="44"/>
      <c r="H771" s="44"/>
      <c r="I771" s="49"/>
      <c r="J771" s="47"/>
      <c r="K771" s="50"/>
      <c r="L771" s="43" t="str">
        <f t="shared" si="1"/>
        <v/>
      </c>
      <c r="M771" s="44"/>
    </row>
    <row r="772" ht="15.75" customHeight="1">
      <c r="A772" s="48"/>
      <c r="B772" s="44"/>
      <c r="C772" s="31" t="str">
        <f t="array" ref="C772">IF(B772="","",IFERROR(INDEX(Listas!$Q$5:$Q$20,MATCH(B772,Listas!$P$5:$P$20,0)),""))</f>
        <v/>
      </c>
      <c r="D772" s="44"/>
      <c r="E772" s="44"/>
      <c r="F772" s="44"/>
      <c r="G772" s="44"/>
      <c r="H772" s="44"/>
      <c r="I772" s="49"/>
      <c r="J772" s="47"/>
      <c r="K772" s="50"/>
      <c r="L772" s="43" t="str">
        <f t="shared" si="1"/>
        <v/>
      </c>
      <c r="M772" s="44"/>
    </row>
    <row r="773" ht="15.75" customHeight="1">
      <c r="A773" s="48"/>
      <c r="B773" s="44"/>
      <c r="C773" s="31" t="str">
        <f t="array" ref="C773">IF(B773="","",IFERROR(INDEX(Listas!$Q$5:$Q$20,MATCH(B773,Listas!$P$5:$P$20,0)),""))</f>
        <v/>
      </c>
      <c r="D773" s="44"/>
      <c r="E773" s="44"/>
      <c r="F773" s="44"/>
      <c r="G773" s="44"/>
      <c r="H773" s="44"/>
      <c r="I773" s="49"/>
      <c r="J773" s="47"/>
      <c r="K773" s="50"/>
      <c r="L773" s="43" t="str">
        <f t="shared" si="1"/>
        <v/>
      </c>
      <c r="M773" s="44"/>
    </row>
    <row r="774" ht="15.75" customHeight="1">
      <c r="A774" s="48"/>
      <c r="B774" s="44"/>
      <c r="C774" s="31" t="str">
        <f t="array" ref="C774">IF(B774="","",IFERROR(INDEX(Listas!$Q$5:$Q$20,MATCH(B774,Listas!$P$5:$P$20,0)),""))</f>
        <v/>
      </c>
      <c r="D774" s="44"/>
      <c r="E774" s="44"/>
      <c r="F774" s="44"/>
      <c r="G774" s="44"/>
      <c r="H774" s="44"/>
      <c r="I774" s="49"/>
      <c r="J774" s="47"/>
      <c r="K774" s="50"/>
      <c r="L774" s="43" t="str">
        <f t="shared" si="1"/>
        <v/>
      </c>
      <c r="M774" s="44"/>
    </row>
    <row r="775" ht="15.75" customHeight="1">
      <c r="A775" s="48"/>
      <c r="B775" s="44"/>
      <c r="C775" s="31" t="str">
        <f t="array" ref="C775">IF(B775="","",IFERROR(INDEX(Listas!$Q$5:$Q$20,MATCH(B775,Listas!$P$5:$P$20,0)),""))</f>
        <v/>
      </c>
      <c r="D775" s="44"/>
      <c r="E775" s="44"/>
      <c r="F775" s="44"/>
      <c r="G775" s="44"/>
      <c r="H775" s="44"/>
      <c r="I775" s="49"/>
      <c r="J775" s="47"/>
      <c r="K775" s="50"/>
      <c r="L775" s="43" t="str">
        <f t="shared" si="1"/>
        <v/>
      </c>
      <c r="M775" s="44"/>
    </row>
    <row r="776" ht="15.75" customHeight="1">
      <c r="A776" s="48"/>
      <c r="B776" s="44"/>
      <c r="C776" s="31" t="str">
        <f t="array" ref="C776">IF(B776="","",IFERROR(INDEX(Listas!$Q$5:$Q$20,MATCH(B776,Listas!$P$5:$P$20,0)),""))</f>
        <v/>
      </c>
      <c r="D776" s="44"/>
      <c r="E776" s="44"/>
      <c r="F776" s="44"/>
      <c r="G776" s="44"/>
      <c r="H776" s="44"/>
      <c r="I776" s="49"/>
      <c r="J776" s="47"/>
      <c r="K776" s="50"/>
      <c r="L776" s="43" t="str">
        <f t="shared" si="1"/>
        <v/>
      </c>
      <c r="M776" s="44"/>
    </row>
    <row r="777" ht="15.75" customHeight="1">
      <c r="A777" s="48"/>
      <c r="B777" s="44"/>
      <c r="C777" s="31" t="str">
        <f t="array" ref="C777">IF(B777="","",IFERROR(INDEX(Listas!$Q$5:$Q$20,MATCH(B777,Listas!$P$5:$P$20,0)),""))</f>
        <v/>
      </c>
      <c r="D777" s="44"/>
      <c r="E777" s="44"/>
      <c r="F777" s="44"/>
      <c r="G777" s="44"/>
      <c r="H777" s="44"/>
      <c r="I777" s="49"/>
      <c r="J777" s="47"/>
      <c r="K777" s="50"/>
      <c r="L777" s="43" t="str">
        <f t="shared" si="1"/>
        <v/>
      </c>
      <c r="M777" s="44"/>
    </row>
    <row r="778" ht="15.75" customHeight="1">
      <c r="A778" s="48"/>
      <c r="B778" s="44"/>
      <c r="C778" s="31" t="str">
        <f t="array" ref="C778">IF(B778="","",IFERROR(INDEX(Listas!$Q$5:$Q$20,MATCH(B778,Listas!$P$5:$P$20,0)),""))</f>
        <v/>
      </c>
      <c r="D778" s="44"/>
      <c r="E778" s="44"/>
      <c r="F778" s="44"/>
      <c r="G778" s="44"/>
      <c r="H778" s="44"/>
      <c r="I778" s="49"/>
      <c r="J778" s="47"/>
      <c r="K778" s="50"/>
      <c r="L778" s="43" t="str">
        <f t="shared" si="1"/>
        <v/>
      </c>
      <c r="M778" s="44"/>
    </row>
    <row r="779" ht="15.75" customHeight="1">
      <c r="A779" s="48"/>
      <c r="B779" s="44"/>
      <c r="C779" s="31" t="str">
        <f t="array" ref="C779">IF(B779="","",IFERROR(INDEX(Listas!$Q$5:$Q$20,MATCH(B779,Listas!$P$5:$P$20,0)),""))</f>
        <v/>
      </c>
      <c r="D779" s="44"/>
      <c r="E779" s="44"/>
      <c r="F779" s="44"/>
      <c r="G779" s="44"/>
      <c r="H779" s="44"/>
      <c r="I779" s="49"/>
      <c r="J779" s="47"/>
      <c r="K779" s="50"/>
      <c r="L779" s="43" t="str">
        <f t="shared" si="1"/>
        <v/>
      </c>
      <c r="M779" s="44"/>
    </row>
    <row r="780" ht="15.75" customHeight="1">
      <c r="A780" s="48"/>
      <c r="B780" s="44"/>
      <c r="C780" s="31" t="str">
        <f t="array" ref="C780">IF(B780="","",IFERROR(INDEX(Listas!$Q$5:$Q$20,MATCH(B780,Listas!$P$5:$P$20,0)),""))</f>
        <v/>
      </c>
      <c r="D780" s="44"/>
      <c r="E780" s="44"/>
      <c r="F780" s="44"/>
      <c r="G780" s="44"/>
      <c r="H780" s="44"/>
      <c r="I780" s="49"/>
      <c r="J780" s="47"/>
      <c r="K780" s="50"/>
      <c r="L780" s="43" t="str">
        <f t="shared" si="1"/>
        <v/>
      </c>
      <c r="M780" s="44"/>
    </row>
    <row r="781" ht="15.75" customHeight="1">
      <c r="A781" s="48"/>
      <c r="B781" s="44"/>
      <c r="C781" s="31" t="str">
        <f t="array" ref="C781">IF(B781="","",IFERROR(INDEX(Listas!$Q$5:$Q$20,MATCH(B781,Listas!$P$5:$P$20,0)),""))</f>
        <v/>
      </c>
      <c r="D781" s="44"/>
      <c r="E781" s="44"/>
      <c r="F781" s="44"/>
      <c r="G781" s="44"/>
      <c r="H781" s="44"/>
      <c r="I781" s="49"/>
      <c r="J781" s="47"/>
      <c r="K781" s="50"/>
      <c r="L781" s="43" t="str">
        <f t="shared" si="1"/>
        <v/>
      </c>
      <c r="M781" s="44"/>
    </row>
    <row r="782" ht="15.75" customHeight="1">
      <c r="A782" s="48"/>
      <c r="B782" s="44"/>
      <c r="C782" s="31" t="str">
        <f t="array" ref="C782">IF(B782="","",IFERROR(INDEX(Listas!$Q$5:$Q$20,MATCH(B782,Listas!$P$5:$P$20,0)),""))</f>
        <v/>
      </c>
      <c r="D782" s="44"/>
      <c r="E782" s="44"/>
      <c r="F782" s="44"/>
      <c r="G782" s="44"/>
      <c r="H782" s="44"/>
      <c r="I782" s="49"/>
      <c r="J782" s="47"/>
      <c r="K782" s="50"/>
      <c r="L782" s="43" t="str">
        <f t="shared" si="1"/>
        <v/>
      </c>
      <c r="M782" s="44"/>
    </row>
    <row r="783" ht="15.75" customHeight="1">
      <c r="A783" s="48"/>
      <c r="B783" s="44"/>
      <c r="C783" s="31" t="str">
        <f t="array" ref="C783">IF(B783="","",IFERROR(INDEX(Listas!$Q$5:$Q$20,MATCH(B783,Listas!$P$5:$P$20,0)),""))</f>
        <v/>
      </c>
      <c r="D783" s="44"/>
      <c r="E783" s="44"/>
      <c r="F783" s="44"/>
      <c r="G783" s="44"/>
      <c r="H783" s="44"/>
      <c r="I783" s="49"/>
      <c r="J783" s="47"/>
      <c r="K783" s="50"/>
      <c r="L783" s="43" t="str">
        <f t="shared" si="1"/>
        <v/>
      </c>
      <c r="M783" s="44"/>
    </row>
    <row r="784" ht="15.75" customHeight="1">
      <c r="A784" s="48"/>
      <c r="B784" s="44"/>
      <c r="C784" s="31" t="str">
        <f t="array" ref="C784">IF(B784="","",IFERROR(INDEX(Listas!$Q$5:$Q$20,MATCH(B784,Listas!$P$5:$P$20,0)),""))</f>
        <v/>
      </c>
      <c r="D784" s="44"/>
      <c r="E784" s="44"/>
      <c r="F784" s="44"/>
      <c r="G784" s="44"/>
      <c r="H784" s="44"/>
      <c r="I784" s="49"/>
      <c r="J784" s="47"/>
      <c r="K784" s="50"/>
      <c r="L784" s="43" t="str">
        <f t="shared" si="1"/>
        <v/>
      </c>
      <c r="M784" s="44"/>
    </row>
    <row r="785" ht="15.75" customHeight="1">
      <c r="A785" s="48"/>
      <c r="B785" s="44"/>
      <c r="C785" s="31" t="str">
        <f t="array" ref="C785">IF(B785="","",IFERROR(INDEX(Listas!$Q$5:$Q$20,MATCH(B785,Listas!$P$5:$P$20,0)),""))</f>
        <v/>
      </c>
      <c r="D785" s="44"/>
      <c r="E785" s="44"/>
      <c r="F785" s="44"/>
      <c r="G785" s="44"/>
      <c r="H785" s="44"/>
      <c r="I785" s="49"/>
      <c r="J785" s="47"/>
      <c r="K785" s="50"/>
      <c r="L785" s="43" t="str">
        <f t="shared" si="1"/>
        <v/>
      </c>
      <c r="M785" s="44"/>
    </row>
    <row r="786" ht="15.75" customHeight="1">
      <c r="A786" s="48"/>
      <c r="B786" s="44"/>
      <c r="C786" s="31" t="str">
        <f t="array" ref="C786">IF(B786="","",IFERROR(INDEX(Listas!$Q$5:$Q$20,MATCH(B786,Listas!$P$5:$P$20,0)),""))</f>
        <v/>
      </c>
      <c r="D786" s="44"/>
      <c r="E786" s="44"/>
      <c r="F786" s="44"/>
      <c r="G786" s="44"/>
      <c r="H786" s="44"/>
      <c r="I786" s="49"/>
      <c r="J786" s="47"/>
      <c r="K786" s="50"/>
      <c r="L786" s="43" t="str">
        <f t="shared" si="1"/>
        <v/>
      </c>
      <c r="M786" s="44"/>
    </row>
    <row r="787" ht="15.75" customHeight="1">
      <c r="A787" s="48"/>
      <c r="B787" s="44"/>
      <c r="C787" s="31" t="str">
        <f t="array" ref="C787">IF(B787="","",IFERROR(INDEX(Listas!$Q$5:$Q$20,MATCH(B787,Listas!$P$5:$P$20,0)),""))</f>
        <v/>
      </c>
      <c r="D787" s="44"/>
      <c r="E787" s="44"/>
      <c r="F787" s="44"/>
      <c r="G787" s="44"/>
      <c r="H787" s="44"/>
      <c r="I787" s="49"/>
      <c r="J787" s="47"/>
      <c r="K787" s="50"/>
      <c r="L787" s="43" t="str">
        <f t="shared" si="1"/>
        <v/>
      </c>
      <c r="M787" s="44"/>
    </row>
    <row r="788" ht="15.75" customHeight="1">
      <c r="A788" s="48"/>
      <c r="B788" s="44"/>
      <c r="C788" s="31" t="str">
        <f t="array" ref="C788">IF(B788="","",IFERROR(INDEX(Listas!$Q$5:$Q$20,MATCH(B788,Listas!$P$5:$P$20,0)),""))</f>
        <v/>
      </c>
      <c r="D788" s="44"/>
      <c r="E788" s="44"/>
      <c r="F788" s="44"/>
      <c r="G788" s="44"/>
      <c r="H788" s="44"/>
      <c r="I788" s="49"/>
      <c r="J788" s="47"/>
      <c r="K788" s="50"/>
      <c r="L788" s="43" t="str">
        <f t="shared" si="1"/>
        <v/>
      </c>
      <c r="M788" s="44"/>
    </row>
    <row r="789" ht="15.75" customHeight="1">
      <c r="A789" s="48"/>
      <c r="B789" s="44"/>
      <c r="C789" s="31" t="str">
        <f t="array" ref="C789">IF(B789="","",IFERROR(INDEX(Listas!$Q$5:$Q$20,MATCH(B789,Listas!$P$5:$P$20,0)),""))</f>
        <v/>
      </c>
      <c r="D789" s="44"/>
      <c r="E789" s="44"/>
      <c r="F789" s="44"/>
      <c r="G789" s="44"/>
      <c r="H789" s="44"/>
      <c r="I789" s="49"/>
      <c r="J789" s="47"/>
      <c r="K789" s="50"/>
      <c r="L789" s="43" t="str">
        <f t="shared" si="1"/>
        <v/>
      </c>
      <c r="M789" s="44"/>
    </row>
    <row r="790" ht="15.75" customHeight="1">
      <c r="A790" s="48"/>
      <c r="B790" s="44"/>
      <c r="C790" s="31" t="str">
        <f t="array" ref="C790">IF(B790="","",IFERROR(INDEX(Listas!$Q$5:$Q$20,MATCH(B790,Listas!$P$5:$P$20,0)),""))</f>
        <v/>
      </c>
      <c r="D790" s="44"/>
      <c r="E790" s="44"/>
      <c r="F790" s="44"/>
      <c r="G790" s="44"/>
      <c r="H790" s="44"/>
      <c r="I790" s="49"/>
      <c r="J790" s="47"/>
      <c r="K790" s="50"/>
      <c r="L790" s="43" t="str">
        <f t="shared" si="1"/>
        <v/>
      </c>
      <c r="M790" s="44"/>
    </row>
    <row r="791" ht="15.75" customHeight="1">
      <c r="A791" s="48"/>
      <c r="B791" s="44"/>
      <c r="C791" s="31" t="str">
        <f t="array" ref="C791">IF(B791="","",IFERROR(INDEX(Listas!$Q$5:$Q$20,MATCH(B791,Listas!$P$5:$P$20,0)),""))</f>
        <v/>
      </c>
      <c r="D791" s="44"/>
      <c r="E791" s="44"/>
      <c r="F791" s="44"/>
      <c r="G791" s="44"/>
      <c r="H791" s="44"/>
      <c r="I791" s="49"/>
      <c r="J791" s="47"/>
      <c r="K791" s="50"/>
      <c r="L791" s="43" t="str">
        <f t="shared" si="1"/>
        <v/>
      </c>
      <c r="M791" s="44"/>
    </row>
    <row r="792" ht="15.75" customHeight="1">
      <c r="A792" s="48"/>
      <c r="B792" s="44"/>
      <c r="C792" s="31" t="str">
        <f t="array" ref="C792">IF(B792="","",IFERROR(INDEX(Listas!$Q$5:$Q$20,MATCH(B792,Listas!$P$5:$P$20,0)),""))</f>
        <v/>
      </c>
      <c r="D792" s="44"/>
      <c r="E792" s="44"/>
      <c r="F792" s="44"/>
      <c r="G792" s="44"/>
      <c r="H792" s="44"/>
      <c r="I792" s="49"/>
      <c r="J792" s="47"/>
      <c r="K792" s="50"/>
      <c r="L792" s="43" t="str">
        <f t="shared" si="1"/>
        <v/>
      </c>
      <c r="M792" s="44"/>
    </row>
    <row r="793" ht="15.75" customHeight="1">
      <c r="A793" s="48"/>
      <c r="B793" s="44"/>
      <c r="C793" s="31" t="str">
        <f t="array" ref="C793">IF(B793="","",IFERROR(INDEX(Listas!$Q$5:$Q$20,MATCH(B793,Listas!$P$5:$P$20,0)),""))</f>
        <v/>
      </c>
      <c r="D793" s="44"/>
      <c r="E793" s="44"/>
      <c r="F793" s="44"/>
      <c r="G793" s="44"/>
      <c r="H793" s="44"/>
      <c r="I793" s="49"/>
      <c r="J793" s="47"/>
      <c r="K793" s="50"/>
      <c r="L793" s="43" t="str">
        <f t="shared" si="1"/>
        <v/>
      </c>
      <c r="M793" s="44"/>
    </row>
    <row r="794" ht="15.75" customHeight="1">
      <c r="A794" s="48"/>
      <c r="B794" s="44"/>
      <c r="C794" s="31" t="str">
        <f t="array" ref="C794">IF(B794="","",IFERROR(INDEX(Listas!$Q$5:$Q$20,MATCH(B794,Listas!$P$5:$P$20,0)),""))</f>
        <v/>
      </c>
      <c r="D794" s="44"/>
      <c r="E794" s="44"/>
      <c r="F794" s="44"/>
      <c r="G794" s="44"/>
      <c r="H794" s="44"/>
      <c r="I794" s="49"/>
      <c r="J794" s="47"/>
      <c r="K794" s="50"/>
      <c r="L794" s="43" t="str">
        <f t="shared" si="1"/>
        <v/>
      </c>
      <c r="M794" s="44"/>
    </row>
    <row r="795" ht="15.75" customHeight="1">
      <c r="A795" s="48"/>
      <c r="B795" s="44"/>
      <c r="C795" s="31" t="str">
        <f t="array" ref="C795">IF(B795="","",IFERROR(INDEX(Listas!$Q$5:$Q$20,MATCH(B795,Listas!$P$5:$P$20,0)),""))</f>
        <v/>
      </c>
      <c r="D795" s="44"/>
      <c r="E795" s="44"/>
      <c r="F795" s="44"/>
      <c r="G795" s="44"/>
      <c r="H795" s="44"/>
      <c r="I795" s="49"/>
      <c r="J795" s="47"/>
      <c r="K795" s="50"/>
      <c r="L795" s="43" t="str">
        <f t="shared" si="1"/>
        <v/>
      </c>
      <c r="M795" s="44"/>
    </row>
    <row r="796" ht="15.75" customHeight="1">
      <c r="A796" s="48"/>
      <c r="B796" s="44"/>
      <c r="C796" s="31" t="str">
        <f t="array" ref="C796">IF(B796="","",IFERROR(INDEX(Listas!$Q$5:$Q$20,MATCH(B796,Listas!$P$5:$P$20,0)),""))</f>
        <v/>
      </c>
      <c r="D796" s="44"/>
      <c r="E796" s="44"/>
      <c r="F796" s="44"/>
      <c r="G796" s="44"/>
      <c r="H796" s="44"/>
      <c r="I796" s="49"/>
      <c r="J796" s="47"/>
      <c r="K796" s="50"/>
      <c r="L796" s="43" t="str">
        <f t="shared" si="1"/>
        <v/>
      </c>
      <c r="M796" s="44"/>
    </row>
    <row r="797" ht="15.75" customHeight="1">
      <c r="A797" s="48"/>
      <c r="B797" s="44"/>
      <c r="C797" s="31" t="str">
        <f t="array" ref="C797">IF(B797="","",IFERROR(INDEX(Listas!$Q$5:$Q$20,MATCH(B797,Listas!$P$5:$P$20,0)),""))</f>
        <v/>
      </c>
      <c r="D797" s="44"/>
      <c r="E797" s="44"/>
      <c r="F797" s="44"/>
      <c r="G797" s="44"/>
      <c r="H797" s="44"/>
      <c r="I797" s="49"/>
      <c r="J797" s="47"/>
      <c r="K797" s="50"/>
      <c r="L797" s="43" t="str">
        <f t="shared" si="1"/>
        <v/>
      </c>
      <c r="M797" s="44"/>
    </row>
    <row r="798" ht="15.75" customHeight="1">
      <c r="A798" s="48"/>
      <c r="B798" s="44"/>
      <c r="C798" s="31" t="str">
        <f t="array" ref="C798">IF(B798="","",IFERROR(INDEX(Listas!$Q$5:$Q$20,MATCH(B798,Listas!$P$5:$P$20,0)),""))</f>
        <v/>
      </c>
      <c r="D798" s="44"/>
      <c r="E798" s="44"/>
      <c r="F798" s="44"/>
      <c r="G798" s="44"/>
      <c r="H798" s="44"/>
      <c r="I798" s="49"/>
      <c r="J798" s="47"/>
      <c r="K798" s="50"/>
      <c r="L798" s="43" t="str">
        <f t="shared" si="1"/>
        <v/>
      </c>
      <c r="M798" s="44"/>
    </row>
    <row r="799" ht="15.75" customHeight="1">
      <c r="A799" s="48"/>
      <c r="B799" s="44"/>
      <c r="C799" s="31" t="str">
        <f t="array" ref="C799">IF(B799="","",IFERROR(INDEX(Listas!$Q$5:$Q$20,MATCH(B799,Listas!$P$5:$P$20,0)),""))</f>
        <v/>
      </c>
      <c r="D799" s="44"/>
      <c r="E799" s="44"/>
      <c r="F799" s="44"/>
      <c r="G799" s="44"/>
      <c r="H799" s="44"/>
      <c r="I799" s="49"/>
      <c r="J799" s="47"/>
      <c r="K799" s="50"/>
      <c r="L799" s="43" t="str">
        <f t="shared" si="1"/>
        <v/>
      </c>
      <c r="M799" s="44"/>
    </row>
    <row r="800" ht="15.75" customHeight="1">
      <c r="A800" s="48"/>
      <c r="B800" s="44"/>
      <c r="C800" s="31" t="str">
        <f t="array" ref="C800">IF(B800="","",IFERROR(INDEX(Listas!$Q$5:$Q$20,MATCH(B800,Listas!$P$5:$P$20,0)),""))</f>
        <v/>
      </c>
      <c r="D800" s="44"/>
      <c r="E800" s="44"/>
      <c r="F800" s="44"/>
      <c r="G800" s="44"/>
      <c r="H800" s="44"/>
      <c r="I800" s="49"/>
      <c r="J800" s="47"/>
      <c r="K800" s="50"/>
      <c r="L800" s="43" t="str">
        <f t="shared" si="1"/>
        <v/>
      </c>
      <c r="M800" s="44"/>
    </row>
    <row r="801" ht="15.75" customHeight="1">
      <c r="A801" s="48"/>
      <c r="B801" s="44"/>
      <c r="C801" s="31" t="str">
        <f t="array" ref="C801">IF(B801="","",IFERROR(INDEX(Listas!$Q$5:$Q$20,MATCH(B801,Listas!$P$5:$P$20,0)),""))</f>
        <v/>
      </c>
      <c r="D801" s="44"/>
      <c r="E801" s="44"/>
      <c r="F801" s="44"/>
      <c r="G801" s="44"/>
      <c r="H801" s="44"/>
      <c r="I801" s="49"/>
      <c r="J801" s="47"/>
      <c r="K801" s="50"/>
      <c r="L801" s="43" t="str">
        <f t="shared" si="1"/>
        <v/>
      </c>
      <c r="M801" s="44"/>
    </row>
    <row r="802" ht="15.75" customHeight="1">
      <c r="A802" s="48"/>
      <c r="B802" s="44"/>
      <c r="C802" s="31" t="str">
        <f t="array" ref="C802">IF(B802="","",IFERROR(INDEX(Listas!$Q$5:$Q$20,MATCH(B802,Listas!$P$5:$P$20,0)),""))</f>
        <v/>
      </c>
      <c r="D802" s="44"/>
      <c r="E802" s="44"/>
      <c r="F802" s="44"/>
      <c r="G802" s="44"/>
      <c r="H802" s="44"/>
      <c r="I802" s="49"/>
      <c r="J802" s="47"/>
      <c r="K802" s="50"/>
      <c r="L802" s="43" t="str">
        <f t="shared" si="1"/>
        <v/>
      </c>
      <c r="M802" s="44"/>
    </row>
    <row r="803" ht="15.75" customHeight="1">
      <c r="A803" s="48"/>
      <c r="B803" s="44"/>
      <c r="C803" s="31" t="str">
        <f t="array" ref="C803">IF(B803="","",IFERROR(INDEX(Listas!$Q$5:$Q$20,MATCH(B803,Listas!$P$5:$P$20,0)),""))</f>
        <v/>
      </c>
      <c r="D803" s="44"/>
      <c r="E803" s="44"/>
      <c r="F803" s="44"/>
      <c r="G803" s="44"/>
      <c r="H803" s="44"/>
      <c r="I803" s="49"/>
      <c r="J803" s="47"/>
      <c r="K803" s="50"/>
      <c r="L803" s="43" t="str">
        <f t="shared" si="1"/>
        <v/>
      </c>
      <c r="M803" s="44"/>
    </row>
    <row r="804" ht="15.75" customHeight="1">
      <c r="A804" s="48"/>
      <c r="B804" s="44"/>
      <c r="C804" s="31" t="str">
        <f t="array" ref="C804">IF(B804="","",IFERROR(INDEX(Listas!$Q$5:$Q$20,MATCH(B804,Listas!$P$5:$P$20,0)),""))</f>
        <v/>
      </c>
      <c r="D804" s="44"/>
      <c r="E804" s="44"/>
      <c r="F804" s="44"/>
      <c r="G804" s="44"/>
      <c r="H804" s="44"/>
      <c r="I804" s="49"/>
      <c r="J804" s="47"/>
      <c r="K804" s="50"/>
      <c r="L804" s="43" t="str">
        <f t="shared" si="1"/>
        <v/>
      </c>
      <c r="M804" s="44"/>
    </row>
    <row r="805" ht="15.75" customHeight="1">
      <c r="A805" s="48"/>
      <c r="B805" s="44"/>
      <c r="C805" s="31" t="str">
        <f t="array" ref="C805">IF(B805="","",IFERROR(INDEX(Listas!$Q$5:$Q$20,MATCH(B805,Listas!$P$5:$P$20,0)),""))</f>
        <v/>
      </c>
      <c r="D805" s="44"/>
      <c r="E805" s="44"/>
      <c r="F805" s="44"/>
      <c r="G805" s="44"/>
      <c r="H805" s="44"/>
      <c r="I805" s="49"/>
      <c r="J805" s="47"/>
      <c r="K805" s="50"/>
      <c r="L805" s="43" t="str">
        <f t="shared" si="1"/>
        <v/>
      </c>
      <c r="M805" s="44"/>
    </row>
    <row r="806" ht="15.75" customHeight="1">
      <c r="A806" s="48"/>
      <c r="B806" s="44"/>
      <c r="C806" s="31" t="str">
        <f t="array" ref="C806">IF(B806="","",IFERROR(INDEX(Listas!$Q$5:$Q$20,MATCH(B806,Listas!$P$5:$P$20,0)),""))</f>
        <v/>
      </c>
      <c r="D806" s="44"/>
      <c r="E806" s="44"/>
      <c r="F806" s="44"/>
      <c r="G806" s="44"/>
      <c r="H806" s="44"/>
      <c r="I806" s="49"/>
      <c r="J806" s="47"/>
      <c r="K806" s="50"/>
      <c r="L806" s="43" t="str">
        <f t="shared" si="1"/>
        <v/>
      </c>
      <c r="M806" s="44"/>
    </row>
    <row r="807" ht="15.75" customHeight="1">
      <c r="A807" s="48"/>
      <c r="B807" s="44"/>
      <c r="C807" s="31" t="str">
        <f t="array" ref="C807">IF(B807="","",IFERROR(INDEX(Listas!$Q$5:$Q$20,MATCH(B807,Listas!$P$5:$P$20,0)),""))</f>
        <v/>
      </c>
      <c r="D807" s="44"/>
      <c r="E807" s="44"/>
      <c r="F807" s="44"/>
      <c r="G807" s="44"/>
      <c r="H807" s="44"/>
      <c r="I807" s="49"/>
      <c r="J807" s="47"/>
      <c r="K807" s="50"/>
      <c r="L807" s="43" t="str">
        <f t="shared" si="1"/>
        <v/>
      </c>
      <c r="M807" s="44"/>
    </row>
    <row r="808" ht="15.75" customHeight="1">
      <c r="A808" s="48"/>
      <c r="B808" s="44"/>
      <c r="C808" s="31" t="str">
        <f t="array" ref="C808">IF(B808="","",IFERROR(INDEX(Listas!$Q$5:$Q$20,MATCH(B808,Listas!$P$5:$P$20,0)),""))</f>
        <v/>
      </c>
      <c r="D808" s="44"/>
      <c r="E808" s="44"/>
      <c r="F808" s="44"/>
      <c r="G808" s="44"/>
      <c r="H808" s="44"/>
      <c r="I808" s="49"/>
      <c r="J808" s="47"/>
      <c r="K808" s="50"/>
      <c r="L808" s="43" t="str">
        <f t="shared" si="1"/>
        <v/>
      </c>
      <c r="M808" s="44"/>
    </row>
    <row r="809" ht="15.75" customHeight="1">
      <c r="A809" s="48"/>
      <c r="B809" s="44"/>
      <c r="C809" s="31" t="str">
        <f t="array" ref="C809">IF(B809="","",IFERROR(INDEX(Listas!$Q$5:$Q$20,MATCH(B809,Listas!$P$5:$P$20,0)),""))</f>
        <v/>
      </c>
      <c r="D809" s="44"/>
      <c r="E809" s="44"/>
      <c r="F809" s="44"/>
      <c r="G809" s="44"/>
      <c r="H809" s="44"/>
      <c r="I809" s="49"/>
      <c r="J809" s="47"/>
      <c r="K809" s="50"/>
      <c r="L809" s="43" t="str">
        <f t="shared" si="1"/>
        <v/>
      </c>
      <c r="M809" s="44"/>
    </row>
    <row r="810" ht="15.75" customHeight="1">
      <c r="A810" s="48"/>
      <c r="B810" s="44"/>
      <c r="C810" s="31" t="str">
        <f t="array" ref="C810">IF(B810="","",IFERROR(INDEX(Listas!$Q$5:$Q$20,MATCH(B810,Listas!$P$5:$P$20,0)),""))</f>
        <v/>
      </c>
      <c r="D810" s="44"/>
      <c r="E810" s="44"/>
      <c r="F810" s="44"/>
      <c r="G810" s="44"/>
      <c r="H810" s="44"/>
      <c r="I810" s="49"/>
      <c r="J810" s="47"/>
      <c r="K810" s="50"/>
      <c r="L810" s="43" t="str">
        <f t="shared" si="1"/>
        <v/>
      </c>
      <c r="M810" s="44"/>
    </row>
    <row r="811" ht="15.75" customHeight="1">
      <c r="A811" s="48"/>
      <c r="B811" s="44"/>
      <c r="C811" s="31" t="str">
        <f t="array" ref="C811">IF(B811="","",IFERROR(INDEX(Listas!$Q$5:$Q$20,MATCH(B811,Listas!$P$5:$P$20,0)),""))</f>
        <v/>
      </c>
      <c r="D811" s="44"/>
      <c r="E811" s="44"/>
      <c r="F811" s="44"/>
      <c r="G811" s="44"/>
      <c r="H811" s="44"/>
      <c r="I811" s="49"/>
      <c r="J811" s="47"/>
      <c r="K811" s="50"/>
      <c r="L811" s="43" t="str">
        <f t="shared" si="1"/>
        <v/>
      </c>
      <c r="M811" s="44"/>
    </row>
    <row r="812" ht="15.75" customHeight="1">
      <c r="A812" s="48"/>
      <c r="B812" s="44"/>
      <c r="C812" s="31" t="str">
        <f t="array" ref="C812">IF(B812="","",IFERROR(INDEX(Listas!$Q$5:$Q$20,MATCH(B812,Listas!$P$5:$P$20,0)),""))</f>
        <v/>
      </c>
      <c r="D812" s="44"/>
      <c r="E812" s="44"/>
      <c r="F812" s="44"/>
      <c r="G812" s="44"/>
      <c r="H812" s="44"/>
      <c r="I812" s="49"/>
      <c r="J812" s="47"/>
      <c r="K812" s="50"/>
      <c r="L812" s="43" t="str">
        <f t="shared" si="1"/>
        <v/>
      </c>
      <c r="M812" s="44"/>
    </row>
    <row r="813" ht="15.75" customHeight="1">
      <c r="A813" s="48"/>
      <c r="B813" s="44"/>
      <c r="C813" s="31" t="str">
        <f t="array" ref="C813">IF(B813="","",IFERROR(INDEX(Listas!$Q$5:$Q$20,MATCH(B813,Listas!$P$5:$P$20,0)),""))</f>
        <v/>
      </c>
      <c r="D813" s="44"/>
      <c r="E813" s="44"/>
      <c r="F813" s="44"/>
      <c r="G813" s="44"/>
      <c r="H813" s="44"/>
      <c r="I813" s="49"/>
      <c r="J813" s="47"/>
      <c r="K813" s="50"/>
      <c r="L813" s="43" t="str">
        <f t="shared" si="1"/>
        <v/>
      </c>
      <c r="M813" s="44"/>
    </row>
    <row r="814" ht="15.75" customHeight="1">
      <c r="A814" s="48"/>
      <c r="B814" s="44"/>
      <c r="C814" s="31" t="str">
        <f t="array" ref="C814">IF(B814="","",IFERROR(INDEX(Listas!$Q$5:$Q$20,MATCH(B814,Listas!$P$5:$P$20,0)),""))</f>
        <v/>
      </c>
      <c r="D814" s="44"/>
      <c r="E814" s="44"/>
      <c r="F814" s="44"/>
      <c r="G814" s="44"/>
      <c r="H814" s="44"/>
      <c r="I814" s="49"/>
      <c r="J814" s="47"/>
      <c r="K814" s="50"/>
      <c r="L814" s="43" t="str">
        <f t="shared" si="1"/>
        <v/>
      </c>
      <c r="M814" s="44"/>
    </row>
    <row r="815" ht="15.75" customHeight="1">
      <c r="A815" s="48"/>
      <c r="B815" s="44"/>
      <c r="C815" s="31" t="str">
        <f t="array" ref="C815">IF(B815="","",IFERROR(INDEX(Listas!$Q$5:$Q$20,MATCH(B815,Listas!$P$5:$P$20,0)),""))</f>
        <v/>
      </c>
      <c r="D815" s="44"/>
      <c r="E815" s="44"/>
      <c r="F815" s="44"/>
      <c r="G815" s="44"/>
      <c r="H815" s="44"/>
      <c r="I815" s="49"/>
      <c r="J815" s="47"/>
      <c r="K815" s="50"/>
      <c r="L815" s="43" t="str">
        <f t="shared" si="1"/>
        <v/>
      </c>
      <c r="M815" s="44"/>
    </row>
    <row r="816" ht="15.75" customHeight="1">
      <c r="A816" s="48"/>
      <c r="B816" s="44"/>
      <c r="C816" s="31" t="str">
        <f t="array" ref="C816">IF(B816="","",IFERROR(INDEX(Listas!$Q$5:$Q$20,MATCH(B816,Listas!$P$5:$P$20,0)),""))</f>
        <v/>
      </c>
      <c r="D816" s="44"/>
      <c r="E816" s="44"/>
      <c r="F816" s="44"/>
      <c r="G816" s="44"/>
      <c r="H816" s="44"/>
      <c r="I816" s="49"/>
      <c r="J816" s="47"/>
      <c r="K816" s="50"/>
      <c r="L816" s="43" t="str">
        <f t="shared" si="1"/>
        <v/>
      </c>
      <c r="M816" s="44"/>
    </row>
    <row r="817" ht="15.75" customHeight="1">
      <c r="A817" s="48"/>
      <c r="B817" s="44"/>
      <c r="C817" s="31" t="str">
        <f t="array" ref="C817">IF(B817="","",IFERROR(INDEX(Listas!$Q$5:$Q$20,MATCH(B817,Listas!$P$5:$P$20,0)),""))</f>
        <v/>
      </c>
      <c r="D817" s="44"/>
      <c r="E817" s="44"/>
      <c r="F817" s="44"/>
      <c r="G817" s="44"/>
      <c r="H817" s="44"/>
      <c r="I817" s="49"/>
      <c r="J817" s="47"/>
      <c r="K817" s="50"/>
      <c r="L817" s="43" t="str">
        <f t="shared" si="1"/>
        <v/>
      </c>
      <c r="M817" s="44"/>
    </row>
    <row r="818" ht="15.75" customHeight="1">
      <c r="A818" s="48"/>
      <c r="B818" s="44"/>
      <c r="C818" s="31" t="str">
        <f t="array" ref="C818">IF(B818="","",IFERROR(INDEX(Listas!$Q$5:$Q$20,MATCH(B818,Listas!$P$5:$P$20,0)),""))</f>
        <v/>
      </c>
      <c r="D818" s="44"/>
      <c r="E818" s="44"/>
      <c r="F818" s="44"/>
      <c r="G818" s="44"/>
      <c r="H818" s="44"/>
      <c r="I818" s="49"/>
      <c r="J818" s="47"/>
      <c r="K818" s="50"/>
      <c r="L818" s="43" t="str">
        <f t="shared" si="1"/>
        <v/>
      </c>
      <c r="M818" s="44"/>
    </row>
    <row r="819" ht="15.75" customHeight="1">
      <c r="A819" s="48"/>
      <c r="B819" s="44"/>
      <c r="C819" s="31" t="str">
        <f t="array" ref="C819">IF(B819="","",IFERROR(INDEX(Listas!$Q$5:$Q$20,MATCH(B819,Listas!$P$5:$P$20,0)),""))</f>
        <v/>
      </c>
      <c r="D819" s="44"/>
      <c r="E819" s="44"/>
      <c r="F819" s="44"/>
      <c r="G819" s="44"/>
      <c r="H819" s="44"/>
      <c r="I819" s="49"/>
      <c r="J819" s="47"/>
      <c r="K819" s="50"/>
      <c r="L819" s="43" t="str">
        <f t="shared" si="1"/>
        <v/>
      </c>
      <c r="M819" s="44"/>
    </row>
    <row r="820" ht="15.75" customHeight="1">
      <c r="A820" s="48"/>
      <c r="B820" s="44"/>
      <c r="C820" s="31" t="str">
        <f t="array" ref="C820">IF(B820="","",IFERROR(INDEX(Listas!$Q$5:$Q$20,MATCH(B820,Listas!$P$5:$P$20,0)),""))</f>
        <v/>
      </c>
      <c r="D820" s="44"/>
      <c r="E820" s="44"/>
      <c r="F820" s="44"/>
      <c r="G820" s="44"/>
      <c r="H820" s="44"/>
      <c r="I820" s="49"/>
      <c r="J820" s="47"/>
      <c r="K820" s="50"/>
      <c r="L820" s="43" t="str">
        <f t="shared" si="1"/>
        <v/>
      </c>
      <c r="M820" s="44"/>
    </row>
    <row r="821" ht="15.75" customHeight="1">
      <c r="A821" s="48"/>
      <c r="B821" s="44"/>
      <c r="C821" s="31" t="str">
        <f t="array" ref="C821">IF(B821="","",IFERROR(INDEX(Listas!$Q$5:$Q$20,MATCH(B821,Listas!$P$5:$P$20,0)),""))</f>
        <v/>
      </c>
      <c r="D821" s="44"/>
      <c r="E821" s="44"/>
      <c r="F821" s="44"/>
      <c r="G821" s="44"/>
      <c r="H821" s="44"/>
      <c r="I821" s="49"/>
      <c r="J821" s="47"/>
      <c r="K821" s="50"/>
      <c r="L821" s="43" t="str">
        <f t="shared" si="1"/>
        <v/>
      </c>
      <c r="M821" s="44"/>
    </row>
    <row r="822" ht="15.75" customHeight="1">
      <c r="A822" s="48"/>
      <c r="B822" s="44"/>
      <c r="C822" s="31" t="str">
        <f t="array" ref="C822">IF(B822="","",IFERROR(INDEX(Listas!$Q$5:$Q$20,MATCH(B822,Listas!$P$5:$P$20,0)),""))</f>
        <v/>
      </c>
      <c r="D822" s="44"/>
      <c r="E822" s="44"/>
      <c r="F822" s="44"/>
      <c r="G822" s="44"/>
      <c r="H822" s="44"/>
      <c r="I822" s="49"/>
      <c r="J822" s="47"/>
      <c r="K822" s="50"/>
      <c r="L822" s="43" t="str">
        <f t="shared" si="1"/>
        <v/>
      </c>
      <c r="M822" s="44"/>
    </row>
    <row r="823" ht="15.75" customHeight="1">
      <c r="A823" s="48"/>
      <c r="B823" s="44"/>
      <c r="C823" s="31" t="str">
        <f t="array" ref="C823">IF(B823="","",IFERROR(INDEX(Listas!$Q$5:$Q$20,MATCH(B823,Listas!$P$5:$P$20,0)),""))</f>
        <v/>
      </c>
      <c r="D823" s="44"/>
      <c r="E823" s="44"/>
      <c r="F823" s="44"/>
      <c r="G823" s="44"/>
      <c r="H823" s="44"/>
      <c r="I823" s="49"/>
      <c r="J823" s="47"/>
      <c r="K823" s="50"/>
      <c r="L823" s="43" t="str">
        <f t="shared" si="1"/>
        <v/>
      </c>
      <c r="M823" s="44"/>
    </row>
    <row r="824" ht="15.75" customHeight="1">
      <c r="A824" s="48"/>
      <c r="B824" s="44"/>
      <c r="C824" s="31" t="str">
        <f t="array" ref="C824">IF(B824="","",IFERROR(INDEX(Listas!$Q$5:$Q$20,MATCH(B824,Listas!$P$5:$P$20,0)),""))</f>
        <v/>
      </c>
      <c r="D824" s="44"/>
      <c r="E824" s="44"/>
      <c r="F824" s="44"/>
      <c r="G824" s="44"/>
      <c r="H824" s="44"/>
      <c r="I824" s="49"/>
      <c r="J824" s="47"/>
      <c r="K824" s="50"/>
      <c r="L824" s="43" t="str">
        <f t="shared" si="1"/>
        <v/>
      </c>
      <c r="M824" s="44"/>
    </row>
    <row r="825" ht="15.75" customHeight="1">
      <c r="A825" s="48"/>
      <c r="B825" s="44"/>
      <c r="C825" s="31" t="str">
        <f t="array" ref="C825">IF(B825="","",IFERROR(INDEX(Listas!$Q$5:$Q$20,MATCH(B825,Listas!$P$5:$P$20,0)),""))</f>
        <v/>
      </c>
      <c r="D825" s="44"/>
      <c r="E825" s="44"/>
      <c r="F825" s="44"/>
      <c r="G825" s="44"/>
      <c r="H825" s="44"/>
      <c r="I825" s="49"/>
      <c r="J825" s="47"/>
      <c r="K825" s="50"/>
      <c r="L825" s="43" t="str">
        <f t="shared" si="1"/>
        <v/>
      </c>
      <c r="M825" s="44"/>
    </row>
    <row r="826" ht="15.75" customHeight="1">
      <c r="A826" s="48"/>
      <c r="B826" s="44"/>
      <c r="C826" s="31" t="str">
        <f t="array" ref="C826">IF(B826="","",IFERROR(INDEX(Listas!$Q$5:$Q$20,MATCH(B826,Listas!$P$5:$P$20,0)),""))</f>
        <v/>
      </c>
      <c r="D826" s="44"/>
      <c r="E826" s="44"/>
      <c r="F826" s="44"/>
      <c r="G826" s="44"/>
      <c r="H826" s="44"/>
      <c r="I826" s="49"/>
      <c r="J826" s="47"/>
      <c r="K826" s="50"/>
      <c r="L826" s="43" t="str">
        <f t="shared" si="1"/>
        <v/>
      </c>
      <c r="M826" s="44"/>
    </row>
    <row r="827" ht="15.75" customHeight="1">
      <c r="A827" s="48"/>
      <c r="B827" s="44"/>
      <c r="C827" s="31" t="str">
        <f t="array" ref="C827">IF(B827="","",IFERROR(INDEX(Listas!$Q$5:$Q$20,MATCH(B827,Listas!$P$5:$P$20,0)),""))</f>
        <v/>
      </c>
      <c r="D827" s="44"/>
      <c r="E827" s="44"/>
      <c r="F827" s="44"/>
      <c r="G827" s="44"/>
      <c r="H827" s="44"/>
      <c r="I827" s="49"/>
      <c r="J827" s="47"/>
      <c r="K827" s="50"/>
      <c r="L827" s="43" t="str">
        <f t="shared" si="1"/>
        <v/>
      </c>
      <c r="M827" s="44"/>
    </row>
    <row r="828" ht="15.75" customHeight="1">
      <c r="A828" s="48"/>
      <c r="B828" s="44"/>
      <c r="C828" s="31" t="str">
        <f t="array" ref="C828">IF(B828="","",IFERROR(INDEX(Listas!$Q$5:$Q$20,MATCH(B828,Listas!$P$5:$P$20,0)),""))</f>
        <v/>
      </c>
      <c r="D828" s="44"/>
      <c r="E828" s="44"/>
      <c r="F828" s="44"/>
      <c r="G828" s="44"/>
      <c r="H828" s="44"/>
      <c r="I828" s="49"/>
      <c r="J828" s="47"/>
      <c r="K828" s="50"/>
      <c r="L828" s="43" t="str">
        <f t="shared" si="1"/>
        <v/>
      </c>
      <c r="M828" s="44"/>
    </row>
    <row r="829" ht="15.75" customHeight="1">
      <c r="A829" s="48"/>
      <c r="B829" s="44"/>
      <c r="C829" s="31" t="str">
        <f t="array" ref="C829">IF(B829="","",IFERROR(INDEX(Listas!$Q$5:$Q$20,MATCH(B829,Listas!$P$5:$P$20,0)),""))</f>
        <v/>
      </c>
      <c r="D829" s="44"/>
      <c r="E829" s="44"/>
      <c r="F829" s="44"/>
      <c r="G829" s="44"/>
      <c r="H829" s="44"/>
      <c r="I829" s="49"/>
      <c r="J829" s="47"/>
      <c r="K829" s="50"/>
      <c r="L829" s="43" t="str">
        <f t="shared" si="1"/>
        <v/>
      </c>
      <c r="M829" s="44"/>
    </row>
    <row r="830" ht="15.75" customHeight="1">
      <c r="A830" s="48"/>
      <c r="B830" s="44"/>
      <c r="C830" s="31" t="str">
        <f t="array" ref="C830">IF(B830="","",IFERROR(INDEX(Listas!$Q$5:$Q$20,MATCH(B830,Listas!$P$5:$P$20,0)),""))</f>
        <v/>
      </c>
      <c r="D830" s="44"/>
      <c r="E830" s="44"/>
      <c r="F830" s="44"/>
      <c r="G830" s="44"/>
      <c r="H830" s="44"/>
      <c r="I830" s="49"/>
      <c r="J830" s="47"/>
      <c r="K830" s="50"/>
      <c r="L830" s="43" t="str">
        <f t="shared" si="1"/>
        <v/>
      </c>
      <c r="M830" s="44"/>
    </row>
    <row r="831" ht="15.75" customHeight="1">
      <c r="A831" s="48"/>
      <c r="B831" s="44"/>
      <c r="C831" s="31" t="str">
        <f t="array" ref="C831">IF(B831="","",IFERROR(INDEX(Listas!$Q$5:$Q$20,MATCH(B831,Listas!$P$5:$P$20,0)),""))</f>
        <v/>
      </c>
      <c r="D831" s="44"/>
      <c r="E831" s="44"/>
      <c r="F831" s="44"/>
      <c r="G831" s="44"/>
      <c r="H831" s="44"/>
      <c r="I831" s="49"/>
      <c r="J831" s="47"/>
      <c r="K831" s="50"/>
      <c r="L831" s="43" t="str">
        <f t="shared" si="1"/>
        <v/>
      </c>
      <c r="M831" s="44"/>
    </row>
    <row r="832" ht="15.75" customHeight="1">
      <c r="A832" s="48"/>
      <c r="B832" s="44"/>
      <c r="C832" s="31" t="str">
        <f t="array" ref="C832">IF(B832="","",IFERROR(INDEX(Listas!$Q$5:$Q$20,MATCH(B832,Listas!$P$5:$P$20,0)),""))</f>
        <v/>
      </c>
      <c r="D832" s="44"/>
      <c r="E832" s="44"/>
      <c r="F832" s="44"/>
      <c r="G832" s="44"/>
      <c r="H832" s="44"/>
      <c r="I832" s="49"/>
      <c r="J832" s="47"/>
      <c r="K832" s="50"/>
      <c r="L832" s="43" t="str">
        <f t="shared" si="1"/>
        <v/>
      </c>
      <c r="M832" s="44"/>
    </row>
    <row r="833" ht="15.75" customHeight="1">
      <c r="A833" s="48"/>
      <c r="B833" s="44"/>
      <c r="C833" s="31" t="str">
        <f t="array" ref="C833">IF(B833="","",IFERROR(INDEX(Listas!$Q$5:$Q$20,MATCH(B833,Listas!$P$5:$P$20,0)),""))</f>
        <v/>
      </c>
      <c r="D833" s="44"/>
      <c r="E833" s="44"/>
      <c r="F833" s="44"/>
      <c r="G833" s="44"/>
      <c r="H833" s="44"/>
      <c r="I833" s="49"/>
      <c r="J833" s="47"/>
      <c r="K833" s="50"/>
      <c r="L833" s="43" t="str">
        <f t="shared" si="1"/>
        <v/>
      </c>
      <c r="M833" s="44"/>
    </row>
    <row r="834" ht="15.75" customHeight="1">
      <c r="A834" s="48"/>
      <c r="B834" s="44"/>
      <c r="C834" s="31" t="str">
        <f t="array" ref="C834">IF(B834="","",IFERROR(INDEX(Listas!$Q$5:$Q$20,MATCH(B834,Listas!$P$5:$P$20,0)),""))</f>
        <v/>
      </c>
      <c r="D834" s="44"/>
      <c r="E834" s="44"/>
      <c r="F834" s="44"/>
      <c r="G834" s="44"/>
      <c r="H834" s="44"/>
      <c r="I834" s="49"/>
      <c r="J834" s="47"/>
      <c r="K834" s="50"/>
      <c r="L834" s="43" t="str">
        <f t="shared" si="1"/>
        <v/>
      </c>
      <c r="M834" s="44"/>
    </row>
    <row r="835" ht="15.75" customHeight="1">
      <c r="A835" s="48"/>
      <c r="B835" s="44"/>
      <c r="C835" s="31" t="str">
        <f t="array" ref="C835">IF(B835="","",IFERROR(INDEX(Listas!$Q$5:$Q$20,MATCH(B835,Listas!$P$5:$P$20,0)),""))</f>
        <v/>
      </c>
      <c r="D835" s="44"/>
      <c r="E835" s="44"/>
      <c r="F835" s="44"/>
      <c r="G835" s="44"/>
      <c r="H835" s="44"/>
      <c r="I835" s="49"/>
      <c r="J835" s="47"/>
      <c r="K835" s="50"/>
      <c r="L835" s="43" t="str">
        <f t="shared" si="1"/>
        <v/>
      </c>
      <c r="M835" s="44"/>
    </row>
    <row r="836" ht="15.75" customHeight="1">
      <c r="A836" s="48"/>
      <c r="B836" s="44"/>
      <c r="C836" s="31" t="str">
        <f t="array" ref="C836">IF(B836="","",IFERROR(INDEX(Listas!$Q$5:$Q$20,MATCH(B836,Listas!$P$5:$P$20,0)),""))</f>
        <v/>
      </c>
      <c r="D836" s="44"/>
      <c r="E836" s="44"/>
      <c r="F836" s="44"/>
      <c r="G836" s="44"/>
      <c r="H836" s="44"/>
      <c r="I836" s="49"/>
      <c r="J836" s="47"/>
      <c r="K836" s="50"/>
      <c r="L836" s="43" t="str">
        <f t="shared" si="1"/>
        <v/>
      </c>
      <c r="M836" s="44"/>
    </row>
    <row r="837" ht="15.75" customHeight="1">
      <c r="A837" s="48"/>
      <c r="B837" s="44"/>
      <c r="C837" s="31" t="str">
        <f t="array" ref="C837">IF(B837="","",IFERROR(INDEX(Listas!$Q$5:$Q$20,MATCH(B837,Listas!$P$5:$P$20,0)),""))</f>
        <v/>
      </c>
      <c r="D837" s="44"/>
      <c r="E837" s="44"/>
      <c r="F837" s="44"/>
      <c r="G837" s="44"/>
      <c r="H837" s="44"/>
      <c r="I837" s="49"/>
      <c r="J837" s="47"/>
      <c r="K837" s="50"/>
      <c r="L837" s="43" t="str">
        <f t="shared" si="1"/>
        <v/>
      </c>
      <c r="M837" s="44"/>
    </row>
    <row r="838" ht="15.75" customHeight="1">
      <c r="A838" s="48"/>
      <c r="B838" s="44"/>
      <c r="C838" s="31" t="str">
        <f t="array" ref="C838">IF(B838="","",IFERROR(INDEX(Listas!$Q$5:$Q$20,MATCH(B838,Listas!$P$5:$P$20,0)),""))</f>
        <v/>
      </c>
      <c r="D838" s="44"/>
      <c r="E838" s="44"/>
      <c r="F838" s="44"/>
      <c r="G838" s="44"/>
      <c r="H838" s="44"/>
      <c r="I838" s="49"/>
      <c r="J838" s="47"/>
      <c r="K838" s="50"/>
      <c r="L838" s="43" t="str">
        <f t="shared" si="1"/>
        <v/>
      </c>
      <c r="M838" s="44"/>
    </row>
    <row r="839" ht="15.75" customHeight="1">
      <c r="A839" s="48"/>
      <c r="B839" s="44"/>
      <c r="C839" s="31" t="str">
        <f t="array" ref="C839">IF(B839="","",IFERROR(INDEX(Listas!$Q$5:$Q$20,MATCH(B839,Listas!$P$5:$P$20,0)),""))</f>
        <v/>
      </c>
      <c r="D839" s="44"/>
      <c r="E839" s="44"/>
      <c r="F839" s="44"/>
      <c r="G839" s="44"/>
      <c r="H839" s="44"/>
      <c r="I839" s="49"/>
      <c r="J839" s="47"/>
      <c r="K839" s="50"/>
      <c r="L839" s="43" t="str">
        <f t="shared" si="1"/>
        <v/>
      </c>
      <c r="M839" s="44"/>
    </row>
    <row r="840" ht="15.75" customHeight="1">
      <c r="A840" s="48"/>
      <c r="B840" s="44"/>
      <c r="C840" s="31" t="str">
        <f t="array" ref="C840">IF(B840="","",IFERROR(INDEX(Listas!$Q$5:$Q$20,MATCH(B840,Listas!$P$5:$P$20,0)),""))</f>
        <v/>
      </c>
      <c r="D840" s="44"/>
      <c r="E840" s="44"/>
      <c r="F840" s="44"/>
      <c r="G840" s="44"/>
      <c r="H840" s="44"/>
      <c r="I840" s="49"/>
      <c r="J840" s="47"/>
      <c r="K840" s="50"/>
      <c r="L840" s="43" t="str">
        <f t="shared" si="1"/>
        <v/>
      </c>
      <c r="M840" s="44"/>
    </row>
    <row r="841" ht="15.75" customHeight="1">
      <c r="A841" s="48"/>
      <c r="B841" s="44"/>
      <c r="C841" s="31" t="str">
        <f t="array" ref="C841">IF(B841="","",IFERROR(INDEX(Listas!$Q$5:$Q$20,MATCH(B841,Listas!$P$5:$P$20,0)),""))</f>
        <v/>
      </c>
      <c r="D841" s="44"/>
      <c r="E841" s="44"/>
      <c r="F841" s="44"/>
      <c r="G841" s="44"/>
      <c r="H841" s="44"/>
      <c r="I841" s="49"/>
      <c r="J841" s="47"/>
      <c r="K841" s="50"/>
      <c r="L841" s="43" t="str">
        <f t="shared" si="1"/>
        <v/>
      </c>
      <c r="M841" s="44"/>
    </row>
    <row r="842" ht="15.75" customHeight="1">
      <c r="A842" s="48"/>
      <c r="B842" s="44"/>
      <c r="C842" s="31" t="str">
        <f t="array" ref="C842">IF(B842="","",IFERROR(INDEX(Listas!$Q$5:$Q$20,MATCH(B842,Listas!$P$5:$P$20,0)),""))</f>
        <v/>
      </c>
      <c r="D842" s="44"/>
      <c r="E842" s="44"/>
      <c r="F842" s="44"/>
      <c r="G842" s="44"/>
      <c r="H842" s="44"/>
      <c r="I842" s="49"/>
      <c r="J842" s="47"/>
      <c r="K842" s="50"/>
      <c r="L842" s="43" t="str">
        <f t="shared" si="1"/>
        <v/>
      </c>
      <c r="M842" s="44"/>
    </row>
    <row r="843" ht="15.75" customHeight="1">
      <c r="A843" s="48"/>
      <c r="B843" s="44"/>
      <c r="C843" s="31" t="str">
        <f t="array" ref="C843">IF(B843="","",IFERROR(INDEX(Listas!$Q$5:$Q$20,MATCH(B843,Listas!$P$5:$P$20,0)),""))</f>
        <v/>
      </c>
      <c r="D843" s="44"/>
      <c r="E843" s="44"/>
      <c r="F843" s="44"/>
      <c r="G843" s="44"/>
      <c r="H843" s="44"/>
      <c r="I843" s="49"/>
      <c r="J843" s="47"/>
      <c r="K843" s="50"/>
      <c r="L843" s="43" t="str">
        <f t="shared" si="1"/>
        <v/>
      </c>
      <c r="M843" s="44"/>
    </row>
    <row r="844" ht="15.75" customHeight="1">
      <c r="A844" s="48"/>
      <c r="B844" s="44"/>
      <c r="C844" s="31" t="str">
        <f t="array" ref="C844">IF(B844="","",IFERROR(INDEX(Listas!$Q$5:$Q$20,MATCH(B844,Listas!$P$5:$P$20,0)),""))</f>
        <v/>
      </c>
      <c r="D844" s="44"/>
      <c r="E844" s="44"/>
      <c r="F844" s="44"/>
      <c r="G844" s="44"/>
      <c r="H844" s="44"/>
      <c r="I844" s="49"/>
      <c r="J844" s="47"/>
      <c r="K844" s="50"/>
      <c r="L844" s="43" t="str">
        <f t="shared" si="1"/>
        <v/>
      </c>
      <c r="M844" s="44"/>
    </row>
    <row r="845" ht="15.75" customHeight="1">
      <c r="A845" s="48"/>
      <c r="B845" s="44"/>
      <c r="C845" s="31" t="str">
        <f t="array" ref="C845">IF(B845="","",IFERROR(INDEX(Listas!$Q$5:$Q$20,MATCH(B845,Listas!$P$5:$P$20,0)),""))</f>
        <v/>
      </c>
      <c r="D845" s="44"/>
      <c r="E845" s="44"/>
      <c r="F845" s="44"/>
      <c r="G845" s="44"/>
      <c r="H845" s="44"/>
      <c r="I845" s="49"/>
      <c r="J845" s="47"/>
      <c r="K845" s="50"/>
      <c r="L845" s="43" t="str">
        <f t="shared" si="1"/>
        <v/>
      </c>
      <c r="M845" s="44"/>
    </row>
    <row r="846" ht="15.75" customHeight="1">
      <c r="A846" s="48"/>
      <c r="B846" s="44"/>
      <c r="C846" s="31" t="str">
        <f t="array" ref="C846">IF(B846="","",IFERROR(INDEX(Listas!$Q$5:$Q$20,MATCH(B846,Listas!$P$5:$P$20,0)),""))</f>
        <v/>
      </c>
      <c r="D846" s="44"/>
      <c r="E846" s="44"/>
      <c r="F846" s="44"/>
      <c r="G846" s="44"/>
      <c r="H846" s="44"/>
      <c r="I846" s="49"/>
      <c r="J846" s="47"/>
      <c r="K846" s="50"/>
      <c r="L846" s="43" t="str">
        <f t="shared" si="1"/>
        <v/>
      </c>
      <c r="M846" s="44"/>
    </row>
    <row r="847" ht="15.75" customHeight="1">
      <c r="A847" s="48"/>
      <c r="B847" s="44"/>
      <c r="C847" s="31" t="str">
        <f t="array" ref="C847">IF(B847="","",IFERROR(INDEX(Listas!$Q$5:$Q$20,MATCH(B847,Listas!$P$5:$P$20,0)),""))</f>
        <v/>
      </c>
      <c r="D847" s="44"/>
      <c r="E847" s="44"/>
      <c r="F847" s="44"/>
      <c r="G847" s="44"/>
      <c r="H847" s="44"/>
      <c r="I847" s="49"/>
      <c r="J847" s="47"/>
      <c r="K847" s="50"/>
      <c r="L847" s="43" t="str">
        <f t="shared" si="1"/>
        <v/>
      </c>
      <c r="M847" s="44"/>
    </row>
    <row r="848" ht="15.75" customHeight="1">
      <c r="A848" s="48"/>
      <c r="B848" s="44"/>
      <c r="C848" s="31" t="str">
        <f t="array" ref="C848">IF(B848="","",IFERROR(INDEX(Listas!$Q$5:$Q$20,MATCH(B848,Listas!$P$5:$P$20,0)),""))</f>
        <v/>
      </c>
      <c r="D848" s="44"/>
      <c r="E848" s="44"/>
      <c r="F848" s="44"/>
      <c r="G848" s="44"/>
      <c r="H848" s="44"/>
      <c r="I848" s="49"/>
      <c r="J848" s="47"/>
      <c r="K848" s="50"/>
      <c r="L848" s="43" t="str">
        <f t="shared" si="1"/>
        <v/>
      </c>
      <c r="M848" s="44"/>
    </row>
    <row r="849" ht="15.75" customHeight="1">
      <c r="A849" s="48"/>
      <c r="B849" s="44"/>
      <c r="C849" s="31" t="str">
        <f t="array" ref="C849">IF(B849="","",IFERROR(INDEX(Listas!$Q$5:$Q$20,MATCH(B849,Listas!$P$5:$P$20,0)),""))</f>
        <v/>
      </c>
      <c r="D849" s="44"/>
      <c r="E849" s="44"/>
      <c r="F849" s="44"/>
      <c r="G849" s="44"/>
      <c r="H849" s="44"/>
      <c r="I849" s="49"/>
      <c r="J849" s="47"/>
      <c r="K849" s="50"/>
      <c r="L849" s="43" t="str">
        <f t="shared" si="1"/>
        <v/>
      </c>
      <c r="M849" s="44"/>
    </row>
    <row r="850" ht="15.75" customHeight="1">
      <c r="A850" s="48"/>
      <c r="B850" s="44"/>
      <c r="C850" s="31" t="str">
        <f t="array" ref="C850">IF(B850="","",IFERROR(INDEX(Listas!$Q$5:$Q$20,MATCH(B850,Listas!$P$5:$P$20,0)),""))</f>
        <v/>
      </c>
      <c r="D850" s="44"/>
      <c r="E850" s="44"/>
      <c r="F850" s="44"/>
      <c r="G850" s="44"/>
      <c r="H850" s="44"/>
      <c r="I850" s="49"/>
      <c r="J850" s="47"/>
      <c r="K850" s="50"/>
      <c r="L850" s="43" t="str">
        <f t="shared" si="1"/>
        <v/>
      </c>
      <c r="M850" s="44"/>
    </row>
    <row r="851" ht="15.75" customHeight="1">
      <c r="A851" s="48"/>
      <c r="B851" s="44"/>
      <c r="C851" s="31" t="str">
        <f t="array" ref="C851">IF(B851="","",IFERROR(INDEX(Listas!$Q$5:$Q$20,MATCH(B851,Listas!$P$5:$P$20,0)),""))</f>
        <v/>
      </c>
      <c r="D851" s="44"/>
      <c r="E851" s="44"/>
      <c r="F851" s="44"/>
      <c r="G851" s="44"/>
      <c r="H851" s="44"/>
      <c r="I851" s="49"/>
      <c r="J851" s="47"/>
      <c r="K851" s="50"/>
      <c r="L851" s="43" t="str">
        <f t="shared" si="1"/>
        <v/>
      </c>
      <c r="M851" s="44"/>
    </row>
    <row r="852" ht="15.75" customHeight="1">
      <c r="A852" s="48"/>
      <c r="B852" s="44"/>
      <c r="C852" s="31" t="str">
        <f t="array" ref="C852">IF(B852="","",IFERROR(INDEX(Listas!$Q$5:$Q$20,MATCH(B852,Listas!$P$5:$P$20,0)),""))</f>
        <v/>
      </c>
      <c r="D852" s="44"/>
      <c r="E852" s="44"/>
      <c r="F852" s="44"/>
      <c r="G852" s="44"/>
      <c r="H852" s="44"/>
      <c r="I852" s="49"/>
      <c r="J852" s="47"/>
      <c r="K852" s="50"/>
      <c r="L852" s="43" t="str">
        <f t="shared" si="1"/>
        <v/>
      </c>
      <c r="M852" s="44"/>
    </row>
    <row r="853" ht="15.75" customHeight="1">
      <c r="A853" s="48"/>
      <c r="B853" s="44"/>
      <c r="C853" s="31" t="str">
        <f t="array" ref="C853">IF(B853="","",IFERROR(INDEX(Listas!$Q$5:$Q$20,MATCH(B853,Listas!$P$5:$P$20,0)),""))</f>
        <v/>
      </c>
      <c r="D853" s="44"/>
      <c r="E853" s="44"/>
      <c r="F853" s="44"/>
      <c r="G853" s="44"/>
      <c r="H853" s="44"/>
      <c r="I853" s="49"/>
      <c r="J853" s="47"/>
      <c r="K853" s="50"/>
      <c r="L853" s="43" t="str">
        <f t="shared" si="1"/>
        <v/>
      </c>
      <c r="M853" s="44"/>
    </row>
    <row r="854" ht="15.75" customHeight="1">
      <c r="A854" s="48"/>
      <c r="B854" s="44"/>
      <c r="C854" s="31" t="str">
        <f t="array" ref="C854">IF(B854="","",IFERROR(INDEX(Listas!$Q$5:$Q$20,MATCH(B854,Listas!$P$5:$P$20,0)),""))</f>
        <v/>
      </c>
      <c r="D854" s="44"/>
      <c r="E854" s="44"/>
      <c r="F854" s="44"/>
      <c r="G854" s="44"/>
      <c r="H854" s="44"/>
      <c r="I854" s="49"/>
      <c r="J854" s="47"/>
      <c r="K854" s="50"/>
      <c r="L854" s="43" t="str">
        <f t="shared" si="1"/>
        <v/>
      </c>
      <c r="M854" s="44"/>
    </row>
    <row r="855" ht="15.75" customHeight="1">
      <c r="A855" s="48"/>
      <c r="B855" s="44"/>
      <c r="C855" s="31" t="str">
        <f t="array" ref="C855">IF(B855="","",IFERROR(INDEX(Listas!$Q$5:$Q$20,MATCH(B855,Listas!$P$5:$P$20,0)),""))</f>
        <v/>
      </c>
      <c r="D855" s="44"/>
      <c r="E855" s="44"/>
      <c r="F855" s="44"/>
      <c r="G855" s="44"/>
      <c r="H855" s="44"/>
      <c r="I855" s="49"/>
      <c r="J855" s="47"/>
      <c r="K855" s="50"/>
      <c r="L855" s="43" t="str">
        <f t="shared" si="1"/>
        <v/>
      </c>
      <c r="M855" s="44"/>
    </row>
    <row r="856" ht="15.75" customHeight="1">
      <c r="A856" s="48"/>
      <c r="B856" s="44"/>
      <c r="C856" s="31" t="str">
        <f t="array" ref="C856">IF(B856="","",IFERROR(INDEX(Listas!$Q$5:$Q$20,MATCH(B856,Listas!$P$5:$P$20,0)),""))</f>
        <v/>
      </c>
      <c r="D856" s="44"/>
      <c r="E856" s="44"/>
      <c r="F856" s="44"/>
      <c r="G856" s="44"/>
      <c r="H856" s="44"/>
      <c r="I856" s="49"/>
      <c r="J856" s="47"/>
      <c r="K856" s="50"/>
      <c r="L856" s="43" t="str">
        <f t="shared" si="1"/>
        <v/>
      </c>
      <c r="M856" s="44"/>
    </row>
    <row r="857" ht="15.75" customHeight="1">
      <c r="A857" s="48"/>
      <c r="B857" s="44"/>
      <c r="C857" s="31" t="str">
        <f t="array" ref="C857">IF(B857="","",IFERROR(INDEX(Listas!$Q$5:$Q$20,MATCH(B857,Listas!$P$5:$P$20,0)),""))</f>
        <v/>
      </c>
      <c r="D857" s="44"/>
      <c r="E857" s="44"/>
      <c r="F857" s="44"/>
      <c r="G857" s="44"/>
      <c r="H857" s="44"/>
      <c r="I857" s="49"/>
      <c r="J857" s="47"/>
      <c r="K857" s="50"/>
      <c r="L857" s="43" t="str">
        <f t="shared" si="1"/>
        <v/>
      </c>
      <c r="M857" s="44"/>
    </row>
    <row r="858" ht="15.75" customHeight="1">
      <c r="A858" s="48"/>
      <c r="B858" s="44"/>
      <c r="C858" s="31" t="str">
        <f t="array" ref="C858">IF(B858="","",IFERROR(INDEX(Listas!$Q$5:$Q$20,MATCH(B858,Listas!$P$5:$P$20,0)),""))</f>
        <v/>
      </c>
      <c r="D858" s="44"/>
      <c r="E858" s="44"/>
      <c r="F858" s="44"/>
      <c r="G858" s="44"/>
      <c r="H858" s="44"/>
      <c r="I858" s="49"/>
      <c r="J858" s="47"/>
      <c r="K858" s="50"/>
      <c r="L858" s="43" t="str">
        <f t="shared" si="1"/>
        <v/>
      </c>
      <c r="M858" s="44"/>
    </row>
    <row r="859" ht="15.75" customHeight="1">
      <c r="A859" s="48"/>
      <c r="B859" s="44"/>
      <c r="C859" s="31" t="str">
        <f t="array" ref="C859">IF(B859="","",IFERROR(INDEX(Listas!$Q$5:$Q$20,MATCH(B859,Listas!$P$5:$P$20,0)),""))</f>
        <v/>
      </c>
      <c r="D859" s="44"/>
      <c r="E859" s="44"/>
      <c r="F859" s="44"/>
      <c r="G859" s="44"/>
      <c r="H859" s="44"/>
      <c r="I859" s="49"/>
      <c r="J859" s="47"/>
      <c r="K859" s="50"/>
      <c r="L859" s="43" t="str">
        <f t="shared" si="1"/>
        <v/>
      </c>
      <c r="M859" s="44"/>
    </row>
    <row r="860" ht="15.75" customHeight="1">
      <c r="A860" s="48"/>
      <c r="B860" s="44"/>
      <c r="C860" s="31" t="str">
        <f t="array" ref="C860">IF(B860="","",IFERROR(INDEX(Listas!$Q$5:$Q$20,MATCH(B860,Listas!$P$5:$P$20,0)),""))</f>
        <v/>
      </c>
      <c r="D860" s="44"/>
      <c r="E860" s="44"/>
      <c r="F860" s="44"/>
      <c r="G860" s="44"/>
      <c r="H860" s="44"/>
      <c r="I860" s="49"/>
      <c r="J860" s="47"/>
      <c r="K860" s="50"/>
      <c r="L860" s="43" t="str">
        <f t="shared" si="1"/>
        <v/>
      </c>
      <c r="M860" s="44"/>
    </row>
    <row r="861" ht="15.75" customHeight="1">
      <c r="A861" s="48"/>
      <c r="B861" s="44"/>
      <c r="C861" s="31" t="str">
        <f t="array" ref="C861">IF(B861="","",IFERROR(INDEX(Listas!$Q$5:$Q$20,MATCH(B861,Listas!$P$5:$P$20,0)),""))</f>
        <v/>
      </c>
      <c r="D861" s="44"/>
      <c r="E861" s="44"/>
      <c r="F861" s="44"/>
      <c r="G861" s="44"/>
      <c r="H861" s="44"/>
      <c r="I861" s="49"/>
      <c r="J861" s="47"/>
      <c r="K861" s="50"/>
      <c r="L861" s="43" t="str">
        <f t="shared" si="1"/>
        <v/>
      </c>
      <c r="M861" s="44"/>
    </row>
    <row r="862" ht="15.75" customHeight="1">
      <c r="A862" s="48"/>
      <c r="B862" s="44"/>
      <c r="C862" s="31" t="str">
        <f t="array" ref="C862">IF(B862="","",IFERROR(INDEX(Listas!$Q$5:$Q$20,MATCH(B862,Listas!$P$5:$P$20,0)),""))</f>
        <v/>
      </c>
      <c r="D862" s="44"/>
      <c r="E862" s="44"/>
      <c r="F862" s="44"/>
      <c r="G862" s="44"/>
      <c r="H862" s="44"/>
      <c r="I862" s="49"/>
      <c r="J862" s="47"/>
      <c r="K862" s="50"/>
      <c r="L862" s="43" t="str">
        <f t="shared" si="1"/>
        <v/>
      </c>
      <c r="M862" s="44"/>
    </row>
    <row r="863" ht="15.75" customHeight="1">
      <c r="A863" s="48"/>
      <c r="B863" s="44"/>
      <c r="C863" s="31" t="str">
        <f t="array" ref="C863">IF(B863="","",IFERROR(INDEX(Listas!$Q$5:$Q$20,MATCH(B863,Listas!$P$5:$P$20,0)),""))</f>
        <v/>
      </c>
      <c r="D863" s="44"/>
      <c r="E863" s="44"/>
      <c r="F863" s="44"/>
      <c r="G863" s="44"/>
      <c r="H863" s="44"/>
      <c r="I863" s="49"/>
      <c r="J863" s="47"/>
      <c r="K863" s="50"/>
      <c r="L863" s="43" t="str">
        <f t="shared" si="1"/>
        <v/>
      </c>
      <c r="M863" s="44"/>
    </row>
    <row r="864" ht="15.75" customHeight="1">
      <c r="A864" s="48"/>
      <c r="B864" s="44"/>
      <c r="C864" s="31" t="str">
        <f t="array" ref="C864">IF(B864="","",IFERROR(INDEX(Listas!$Q$5:$Q$20,MATCH(B864,Listas!$P$5:$P$20,0)),""))</f>
        <v/>
      </c>
      <c r="D864" s="44"/>
      <c r="E864" s="44"/>
      <c r="F864" s="44"/>
      <c r="G864" s="44"/>
      <c r="H864" s="44"/>
      <c r="I864" s="49"/>
      <c r="J864" s="47"/>
      <c r="K864" s="50"/>
      <c r="L864" s="43" t="str">
        <f t="shared" si="1"/>
        <v/>
      </c>
      <c r="M864" s="44"/>
    </row>
    <row r="865" ht="15.75" customHeight="1">
      <c r="A865" s="48"/>
      <c r="B865" s="44"/>
      <c r="C865" s="31" t="str">
        <f t="array" ref="C865">IF(B865="","",IFERROR(INDEX(Listas!$Q$5:$Q$20,MATCH(B865,Listas!$P$5:$P$20,0)),""))</f>
        <v/>
      </c>
      <c r="D865" s="44"/>
      <c r="E865" s="44"/>
      <c r="F865" s="44"/>
      <c r="G865" s="44"/>
      <c r="H865" s="44"/>
      <c r="I865" s="49"/>
      <c r="J865" s="47"/>
      <c r="K865" s="50"/>
      <c r="L865" s="43" t="str">
        <f t="shared" si="1"/>
        <v/>
      </c>
      <c r="M865" s="44"/>
    </row>
    <row r="866" ht="15.75" customHeight="1">
      <c r="A866" s="48"/>
      <c r="B866" s="44"/>
      <c r="C866" s="31" t="str">
        <f t="array" ref="C866">IF(B866="","",IFERROR(INDEX(Listas!$Q$5:$Q$20,MATCH(B866,Listas!$P$5:$P$20,0)),""))</f>
        <v/>
      </c>
      <c r="D866" s="44"/>
      <c r="E866" s="44"/>
      <c r="F866" s="44"/>
      <c r="G866" s="44"/>
      <c r="H866" s="44"/>
      <c r="I866" s="49"/>
      <c r="J866" s="47"/>
      <c r="K866" s="50"/>
      <c r="L866" s="43" t="str">
        <f t="shared" si="1"/>
        <v/>
      </c>
      <c r="M866" s="44"/>
    </row>
    <row r="867" ht="15.75" customHeight="1">
      <c r="A867" s="48"/>
      <c r="B867" s="44"/>
      <c r="C867" s="31" t="str">
        <f t="array" ref="C867">IF(B867="","",IFERROR(INDEX(Listas!$Q$5:$Q$20,MATCH(B867,Listas!$P$5:$P$20,0)),""))</f>
        <v/>
      </c>
      <c r="D867" s="44"/>
      <c r="E867" s="44"/>
      <c r="F867" s="44"/>
      <c r="G867" s="44"/>
      <c r="H867" s="44"/>
      <c r="I867" s="49"/>
      <c r="J867" s="47"/>
      <c r="K867" s="50"/>
      <c r="L867" s="43" t="str">
        <f t="shared" si="1"/>
        <v/>
      </c>
      <c r="M867" s="44"/>
    </row>
    <row r="868" ht="15.75" customHeight="1">
      <c r="A868" s="48"/>
      <c r="B868" s="44"/>
      <c r="C868" s="31" t="str">
        <f t="array" ref="C868">IF(B868="","",IFERROR(INDEX(Listas!$Q$5:$Q$20,MATCH(B868,Listas!$P$5:$P$20,0)),""))</f>
        <v/>
      </c>
      <c r="D868" s="44"/>
      <c r="E868" s="44"/>
      <c r="F868" s="44"/>
      <c r="G868" s="44"/>
      <c r="H868" s="44"/>
      <c r="I868" s="49"/>
      <c r="J868" s="47"/>
      <c r="K868" s="50"/>
      <c r="L868" s="43" t="str">
        <f t="shared" si="1"/>
        <v/>
      </c>
      <c r="M868" s="44"/>
    </row>
    <row r="869" ht="15.75" customHeight="1">
      <c r="A869" s="48"/>
      <c r="B869" s="44"/>
      <c r="C869" s="31" t="str">
        <f t="array" ref="C869">IF(B869="","",IFERROR(INDEX(Listas!$Q$5:$Q$20,MATCH(B869,Listas!$P$5:$P$20,0)),""))</f>
        <v/>
      </c>
      <c r="D869" s="44"/>
      <c r="E869" s="44"/>
      <c r="F869" s="44"/>
      <c r="G869" s="44"/>
      <c r="H869" s="44"/>
      <c r="I869" s="49"/>
      <c r="J869" s="47"/>
      <c r="K869" s="50"/>
      <c r="L869" s="43" t="str">
        <f t="shared" si="1"/>
        <v/>
      </c>
      <c r="M869" s="44"/>
    </row>
    <row r="870" ht="15.75" customHeight="1">
      <c r="A870" s="48"/>
      <c r="B870" s="44"/>
      <c r="C870" s="31" t="str">
        <f t="array" ref="C870">IF(B870="","",IFERROR(INDEX(Listas!$Q$5:$Q$20,MATCH(B870,Listas!$P$5:$P$20,0)),""))</f>
        <v/>
      </c>
      <c r="D870" s="44"/>
      <c r="E870" s="44"/>
      <c r="F870" s="44"/>
      <c r="G870" s="44"/>
      <c r="H870" s="44"/>
      <c r="I870" s="49"/>
      <c r="J870" s="47"/>
      <c r="K870" s="50"/>
      <c r="L870" s="43" t="str">
        <f t="shared" si="1"/>
        <v/>
      </c>
      <c r="M870" s="44"/>
    </row>
    <row r="871" ht="15.75" customHeight="1">
      <c r="A871" s="48"/>
      <c r="B871" s="44"/>
      <c r="C871" s="31" t="str">
        <f t="array" ref="C871">IF(B871="","",IFERROR(INDEX(Listas!$Q$5:$Q$20,MATCH(B871,Listas!$P$5:$P$20,0)),""))</f>
        <v/>
      </c>
      <c r="D871" s="44"/>
      <c r="E871" s="44"/>
      <c r="F871" s="44"/>
      <c r="G871" s="44"/>
      <c r="H871" s="44"/>
      <c r="I871" s="49"/>
      <c r="J871" s="47"/>
      <c r="K871" s="50"/>
      <c r="L871" s="43" t="str">
        <f t="shared" si="1"/>
        <v/>
      </c>
      <c r="M871" s="44"/>
    </row>
    <row r="872" ht="15.75" customHeight="1">
      <c r="A872" s="48"/>
      <c r="B872" s="44"/>
      <c r="C872" s="31" t="str">
        <f t="array" ref="C872">IF(B872="","",IFERROR(INDEX(Listas!$Q$5:$Q$20,MATCH(B872,Listas!$P$5:$P$20,0)),""))</f>
        <v/>
      </c>
      <c r="D872" s="44"/>
      <c r="E872" s="44"/>
      <c r="F872" s="44"/>
      <c r="G872" s="44"/>
      <c r="H872" s="44"/>
      <c r="I872" s="49"/>
      <c r="J872" s="47"/>
      <c r="K872" s="50"/>
      <c r="L872" s="43" t="str">
        <f t="shared" si="1"/>
        <v/>
      </c>
      <c r="M872" s="44"/>
    </row>
    <row r="873" ht="15.75" customHeight="1">
      <c r="A873" s="48"/>
      <c r="B873" s="44"/>
      <c r="C873" s="31" t="str">
        <f t="array" ref="C873">IF(B873="","",IFERROR(INDEX(Listas!$Q$5:$Q$20,MATCH(B873,Listas!$P$5:$P$20,0)),""))</f>
        <v/>
      </c>
      <c r="D873" s="44"/>
      <c r="E873" s="44"/>
      <c r="F873" s="44"/>
      <c r="G873" s="44"/>
      <c r="H873" s="44"/>
      <c r="I873" s="49"/>
      <c r="J873" s="47"/>
      <c r="K873" s="50"/>
      <c r="L873" s="43" t="str">
        <f t="shared" si="1"/>
        <v/>
      </c>
      <c r="M873" s="44"/>
    </row>
    <row r="874" ht="15.75" customHeight="1">
      <c r="A874" s="48"/>
      <c r="B874" s="44"/>
      <c r="C874" s="31" t="str">
        <f t="array" ref="C874">IF(B874="","",IFERROR(INDEX(Listas!$Q$5:$Q$20,MATCH(B874,Listas!$P$5:$P$20,0)),""))</f>
        <v/>
      </c>
      <c r="D874" s="44"/>
      <c r="E874" s="44"/>
      <c r="F874" s="44"/>
      <c r="G874" s="44"/>
      <c r="H874" s="44"/>
      <c r="I874" s="49"/>
      <c r="J874" s="47"/>
      <c r="K874" s="50"/>
      <c r="L874" s="43" t="str">
        <f t="shared" si="1"/>
        <v/>
      </c>
      <c r="M874" s="44"/>
    </row>
    <row r="875" ht="15.75" customHeight="1">
      <c r="A875" s="48"/>
      <c r="B875" s="44"/>
      <c r="C875" s="31" t="str">
        <f t="array" ref="C875">IF(B875="","",IFERROR(INDEX(Listas!$Q$5:$Q$20,MATCH(B875,Listas!$P$5:$P$20,0)),""))</f>
        <v/>
      </c>
      <c r="D875" s="44"/>
      <c r="E875" s="44"/>
      <c r="F875" s="44"/>
      <c r="G875" s="44"/>
      <c r="H875" s="44"/>
      <c r="I875" s="49"/>
      <c r="J875" s="47"/>
      <c r="K875" s="50"/>
      <c r="L875" s="43" t="str">
        <f t="shared" si="1"/>
        <v/>
      </c>
      <c r="M875" s="44"/>
    </row>
    <row r="876" ht="15.75" customHeight="1">
      <c r="A876" s="48"/>
      <c r="B876" s="44"/>
      <c r="C876" s="31" t="str">
        <f t="array" ref="C876">IF(B876="","",IFERROR(INDEX(Listas!$Q$5:$Q$20,MATCH(B876,Listas!$P$5:$P$20,0)),""))</f>
        <v/>
      </c>
      <c r="D876" s="44"/>
      <c r="E876" s="44"/>
      <c r="F876" s="44"/>
      <c r="G876" s="44"/>
      <c r="H876" s="44"/>
      <c r="I876" s="49"/>
      <c r="J876" s="47"/>
      <c r="K876" s="50"/>
      <c r="L876" s="43" t="str">
        <f t="shared" si="1"/>
        <v/>
      </c>
      <c r="M876" s="44"/>
    </row>
    <row r="877" ht="15.75" customHeight="1">
      <c r="A877" s="48"/>
      <c r="B877" s="44"/>
      <c r="C877" s="31" t="str">
        <f t="array" ref="C877">IF(B877="","",IFERROR(INDEX(Listas!$Q$5:$Q$20,MATCH(B877,Listas!$P$5:$P$20,0)),""))</f>
        <v/>
      </c>
      <c r="D877" s="44"/>
      <c r="E877" s="44"/>
      <c r="F877" s="44"/>
      <c r="G877" s="44"/>
      <c r="H877" s="44"/>
      <c r="I877" s="49"/>
      <c r="J877" s="47"/>
      <c r="K877" s="50"/>
      <c r="L877" s="43" t="str">
        <f t="shared" si="1"/>
        <v/>
      </c>
      <c r="M877" s="44"/>
    </row>
    <row r="878" ht="15.75" customHeight="1">
      <c r="A878" s="48"/>
      <c r="B878" s="44"/>
      <c r="C878" s="31" t="str">
        <f t="array" ref="C878">IF(B878="","",IFERROR(INDEX(Listas!$Q$5:$Q$20,MATCH(B878,Listas!$P$5:$P$20,0)),""))</f>
        <v/>
      </c>
      <c r="D878" s="44"/>
      <c r="E878" s="44"/>
      <c r="F878" s="44"/>
      <c r="G878" s="44"/>
      <c r="H878" s="44"/>
      <c r="I878" s="49"/>
      <c r="J878" s="47"/>
      <c r="K878" s="50"/>
      <c r="L878" s="43" t="str">
        <f t="shared" si="1"/>
        <v/>
      </c>
      <c r="M878" s="44"/>
    </row>
    <row r="879" ht="15.75" customHeight="1">
      <c r="A879" s="48"/>
      <c r="B879" s="44"/>
      <c r="C879" s="31" t="str">
        <f t="array" ref="C879">IF(B879="","",IFERROR(INDEX(Listas!$Q$5:$Q$20,MATCH(B879,Listas!$P$5:$P$20,0)),""))</f>
        <v/>
      </c>
      <c r="D879" s="44"/>
      <c r="E879" s="44"/>
      <c r="F879" s="44"/>
      <c r="G879" s="44"/>
      <c r="H879" s="44"/>
      <c r="I879" s="49"/>
      <c r="J879" s="47"/>
      <c r="K879" s="50"/>
      <c r="L879" s="43" t="str">
        <f t="shared" si="1"/>
        <v/>
      </c>
      <c r="M879" s="44"/>
    </row>
    <row r="880" ht="15.75" customHeight="1">
      <c r="A880" s="48"/>
      <c r="B880" s="44"/>
      <c r="C880" s="31" t="str">
        <f t="array" ref="C880">IF(B880="","",IFERROR(INDEX(Listas!$Q$5:$Q$20,MATCH(B880,Listas!$P$5:$P$20,0)),""))</f>
        <v/>
      </c>
      <c r="D880" s="44"/>
      <c r="E880" s="44"/>
      <c r="F880" s="44"/>
      <c r="G880" s="44"/>
      <c r="H880" s="44"/>
      <c r="I880" s="49"/>
      <c r="J880" s="47"/>
      <c r="K880" s="50"/>
      <c r="L880" s="43" t="str">
        <f t="shared" si="1"/>
        <v/>
      </c>
      <c r="M880" s="44"/>
    </row>
    <row r="881" ht="15.75" customHeight="1">
      <c r="A881" s="48"/>
      <c r="B881" s="44"/>
      <c r="C881" s="31" t="str">
        <f t="array" ref="C881">IF(B881="","",IFERROR(INDEX(Listas!$Q$5:$Q$20,MATCH(B881,Listas!$P$5:$P$20,0)),""))</f>
        <v/>
      </c>
      <c r="D881" s="44"/>
      <c r="E881" s="44"/>
      <c r="F881" s="44"/>
      <c r="G881" s="44"/>
      <c r="H881" s="44"/>
      <c r="I881" s="49"/>
      <c r="J881" s="47"/>
      <c r="K881" s="50"/>
      <c r="L881" s="43" t="str">
        <f t="shared" si="1"/>
        <v/>
      </c>
      <c r="M881" s="44"/>
    </row>
    <row r="882" ht="15.75" customHeight="1">
      <c r="A882" s="48"/>
      <c r="B882" s="44"/>
      <c r="C882" s="31" t="str">
        <f t="array" ref="C882">IF(B882="","",IFERROR(INDEX(Listas!$Q$5:$Q$20,MATCH(B882,Listas!$P$5:$P$20,0)),""))</f>
        <v/>
      </c>
      <c r="D882" s="44"/>
      <c r="E882" s="44"/>
      <c r="F882" s="44"/>
      <c r="G882" s="44"/>
      <c r="H882" s="44"/>
      <c r="I882" s="49"/>
      <c r="J882" s="47"/>
      <c r="K882" s="50"/>
      <c r="L882" s="43" t="str">
        <f t="shared" si="1"/>
        <v/>
      </c>
      <c r="M882" s="44"/>
    </row>
    <row r="883" ht="15.75" customHeight="1">
      <c r="A883" s="48"/>
      <c r="B883" s="44"/>
      <c r="C883" s="31" t="str">
        <f t="array" ref="C883">IF(B883="","",IFERROR(INDEX(Listas!$Q$5:$Q$20,MATCH(B883,Listas!$P$5:$P$20,0)),""))</f>
        <v/>
      </c>
      <c r="D883" s="44"/>
      <c r="E883" s="44"/>
      <c r="F883" s="44"/>
      <c r="G883" s="44"/>
      <c r="H883" s="44"/>
      <c r="I883" s="49"/>
      <c r="J883" s="47"/>
      <c r="K883" s="50"/>
      <c r="L883" s="43" t="str">
        <f t="shared" si="1"/>
        <v/>
      </c>
      <c r="M883" s="44"/>
    </row>
    <row r="884" ht="15.75" customHeight="1">
      <c r="A884" s="48"/>
      <c r="B884" s="44"/>
      <c r="C884" s="31" t="str">
        <f t="array" ref="C884">IF(B884="","",IFERROR(INDEX(Listas!$Q$5:$Q$20,MATCH(B884,Listas!$P$5:$P$20,0)),""))</f>
        <v/>
      </c>
      <c r="D884" s="44"/>
      <c r="E884" s="44"/>
      <c r="F884" s="44"/>
      <c r="G884" s="44"/>
      <c r="H884" s="44"/>
      <c r="I884" s="49"/>
      <c r="J884" s="47"/>
      <c r="K884" s="50"/>
      <c r="L884" s="43" t="str">
        <f t="shared" si="1"/>
        <v/>
      </c>
      <c r="M884" s="44"/>
    </row>
    <row r="885" ht="15.75" customHeight="1">
      <c r="A885" s="48"/>
      <c r="B885" s="44"/>
      <c r="C885" s="31" t="str">
        <f t="array" ref="C885">IF(B885="","",IFERROR(INDEX(Listas!$Q$5:$Q$20,MATCH(B885,Listas!$P$5:$P$20,0)),""))</f>
        <v/>
      </c>
      <c r="D885" s="44"/>
      <c r="E885" s="44"/>
      <c r="F885" s="44"/>
      <c r="G885" s="44"/>
      <c r="H885" s="44"/>
      <c r="I885" s="49"/>
      <c r="J885" s="47"/>
      <c r="K885" s="50"/>
      <c r="L885" s="43" t="str">
        <f t="shared" si="1"/>
        <v/>
      </c>
      <c r="M885" s="44"/>
    </row>
    <row r="886" ht="15.75" customHeight="1">
      <c r="A886" s="48"/>
      <c r="B886" s="44"/>
      <c r="C886" s="31" t="str">
        <f t="array" ref="C886">IF(B886="","",IFERROR(INDEX(Listas!$Q$5:$Q$20,MATCH(B886,Listas!$P$5:$P$20,0)),""))</f>
        <v/>
      </c>
      <c r="D886" s="44"/>
      <c r="E886" s="44"/>
      <c r="F886" s="44"/>
      <c r="G886" s="44"/>
      <c r="H886" s="44"/>
      <c r="I886" s="49"/>
      <c r="J886" s="47"/>
      <c r="K886" s="50"/>
      <c r="L886" s="43" t="str">
        <f t="shared" si="1"/>
        <v/>
      </c>
      <c r="M886" s="44"/>
    </row>
    <row r="887" ht="15.75" customHeight="1">
      <c r="A887" s="48"/>
      <c r="B887" s="44"/>
      <c r="C887" s="31" t="str">
        <f t="array" ref="C887">IF(B887="","",IFERROR(INDEX(Listas!$Q$5:$Q$20,MATCH(B887,Listas!$P$5:$P$20,0)),""))</f>
        <v/>
      </c>
      <c r="D887" s="44"/>
      <c r="E887" s="44"/>
      <c r="F887" s="44"/>
      <c r="G887" s="44"/>
      <c r="H887" s="44"/>
      <c r="I887" s="49"/>
      <c r="J887" s="47"/>
      <c r="K887" s="50"/>
      <c r="L887" s="43" t="str">
        <f t="shared" si="1"/>
        <v/>
      </c>
      <c r="M887" s="44"/>
    </row>
    <row r="888" ht="15.75" customHeight="1">
      <c r="A888" s="48"/>
      <c r="B888" s="44"/>
      <c r="C888" s="31" t="str">
        <f t="array" ref="C888">IF(B888="","",IFERROR(INDEX(Listas!$Q$5:$Q$20,MATCH(B888,Listas!$P$5:$P$20,0)),""))</f>
        <v/>
      </c>
      <c r="D888" s="44"/>
      <c r="E888" s="44"/>
      <c r="F888" s="44"/>
      <c r="G888" s="44"/>
      <c r="H888" s="44"/>
      <c r="I888" s="49"/>
      <c r="J888" s="47"/>
      <c r="K888" s="50"/>
      <c r="L888" s="43" t="str">
        <f t="shared" si="1"/>
        <v/>
      </c>
      <c r="M888" s="44"/>
    </row>
    <row r="889" ht="15.75" customHeight="1">
      <c r="A889" s="48"/>
      <c r="B889" s="44"/>
      <c r="C889" s="31" t="str">
        <f t="array" ref="C889">IF(B889="","",IFERROR(INDEX(Listas!$Q$5:$Q$20,MATCH(B889,Listas!$P$5:$P$20,0)),""))</f>
        <v/>
      </c>
      <c r="D889" s="44"/>
      <c r="E889" s="44"/>
      <c r="F889" s="44"/>
      <c r="G889" s="44"/>
      <c r="H889" s="44"/>
      <c r="I889" s="49"/>
      <c r="J889" s="47"/>
      <c r="K889" s="50"/>
      <c r="L889" s="43" t="str">
        <f t="shared" si="1"/>
        <v/>
      </c>
      <c r="M889" s="44"/>
    </row>
    <row r="890" ht="15.75" customHeight="1">
      <c r="A890" s="48"/>
      <c r="B890" s="44"/>
      <c r="C890" s="31" t="str">
        <f t="array" ref="C890">IF(B890="","",IFERROR(INDEX(Listas!$Q$5:$Q$20,MATCH(B890,Listas!$P$5:$P$20,0)),""))</f>
        <v/>
      </c>
      <c r="D890" s="44"/>
      <c r="E890" s="44"/>
      <c r="F890" s="44"/>
      <c r="G890" s="44"/>
      <c r="H890" s="44"/>
      <c r="I890" s="49"/>
      <c r="J890" s="47"/>
      <c r="K890" s="50"/>
      <c r="L890" s="43" t="str">
        <f t="shared" si="1"/>
        <v/>
      </c>
      <c r="M890" s="44"/>
    </row>
    <row r="891" ht="15.75" customHeight="1">
      <c r="A891" s="48"/>
      <c r="B891" s="44"/>
      <c r="C891" s="31" t="str">
        <f t="array" ref="C891">IF(B891="","",IFERROR(INDEX(Listas!$Q$5:$Q$20,MATCH(B891,Listas!$P$5:$P$20,0)),""))</f>
        <v/>
      </c>
      <c r="D891" s="44"/>
      <c r="E891" s="44"/>
      <c r="F891" s="44"/>
      <c r="G891" s="44"/>
      <c r="H891" s="44"/>
      <c r="I891" s="49"/>
      <c r="J891" s="47"/>
      <c r="K891" s="50"/>
      <c r="L891" s="43" t="str">
        <f t="shared" si="1"/>
        <v/>
      </c>
      <c r="M891" s="44"/>
    </row>
    <row r="892" ht="15.75" customHeight="1">
      <c r="A892" s="48"/>
      <c r="B892" s="44"/>
      <c r="C892" s="31" t="str">
        <f t="array" ref="C892">IF(B892="","",IFERROR(INDEX(Listas!$Q$5:$Q$20,MATCH(B892,Listas!$P$5:$P$20,0)),""))</f>
        <v/>
      </c>
      <c r="D892" s="44"/>
      <c r="E892" s="44"/>
      <c r="F892" s="44"/>
      <c r="G892" s="44"/>
      <c r="H892" s="44"/>
      <c r="I892" s="49"/>
      <c r="J892" s="47"/>
      <c r="K892" s="50"/>
      <c r="L892" s="43" t="str">
        <f t="shared" si="1"/>
        <v/>
      </c>
      <c r="M892" s="44"/>
    </row>
    <row r="893" ht="15.75" customHeight="1">
      <c r="A893" s="48"/>
      <c r="B893" s="44"/>
      <c r="C893" s="31" t="str">
        <f t="array" ref="C893">IF(B893="","",IFERROR(INDEX(Listas!$Q$5:$Q$20,MATCH(B893,Listas!$P$5:$P$20,0)),""))</f>
        <v/>
      </c>
      <c r="D893" s="44"/>
      <c r="E893" s="44"/>
      <c r="F893" s="44"/>
      <c r="G893" s="44"/>
      <c r="H893" s="44"/>
      <c r="I893" s="49"/>
      <c r="J893" s="47"/>
      <c r="K893" s="50"/>
      <c r="L893" s="43" t="str">
        <f t="shared" si="1"/>
        <v/>
      </c>
      <c r="M893" s="44"/>
    </row>
    <row r="894" ht="15.75" customHeight="1">
      <c r="A894" s="48"/>
      <c r="B894" s="44"/>
      <c r="C894" s="31" t="str">
        <f t="array" ref="C894">IF(B894="","",IFERROR(INDEX(Listas!$Q$5:$Q$20,MATCH(B894,Listas!$P$5:$P$20,0)),""))</f>
        <v/>
      </c>
      <c r="D894" s="44"/>
      <c r="E894" s="44"/>
      <c r="F894" s="44"/>
      <c r="G894" s="44"/>
      <c r="H894" s="44"/>
      <c r="I894" s="49"/>
      <c r="J894" s="47"/>
      <c r="K894" s="50"/>
      <c r="L894" s="43" t="str">
        <f t="shared" si="1"/>
        <v/>
      </c>
      <c r="M894" s="44"/>
    </row>
    <row r="895" ht="15.75" customHeight="1">
      <c r="A895" s="48"/>
      <c r="B895" s="44"/>
      <c r="C895" s="31" t="str">
        <f t="array" ref="C895">IF(B895="","",IFERROR(INDEX(Listas!$Q$5:$Q$20,MATCH(B895,Listas!$P$5:$P$20,0)),""))</f>
        <v/>
      </c>
      <c r="D895" s="44"/>
      <c r="E895" s="44"/>
      <c r="F895" s="44"/>
      <c r="G895" s="44"/>
      <c r="H895" s="44"/>
      <c r="I895" s="49"/>
      <c r="J895" s="47"/>
      <c r="K895" s="50"/>
      <c r="L895" s="43" t="str">
        <f t="shared" si="1"/>
        <v/>
      </c>
      <c r="M895" s="44"/>
    </row>
    <row r="896" ht="15.75" customHeight="1">
      <c r="A896" s="48"/>
      <c r="B896" s="44"/>
      <c r="C896" s="31" t="str">
        <f t="array" ref="C896">IF(B896="","",IFERROR(INDEX(Listas!$Q$5:$Q$20,MATCH(B896,Listas!$P$5:$P$20,0)),""))</f>
        <v/>
      </c>
      <c r="D896" s="44"/>
      <c r="E896" s="44"/>
      <c r="F896" s="44"/>
      <c r="G896" s="44"/>
      <c r="H896" s="44"/>
      <c r="I896" s="49"/>
      <c r="J896" s="47"/>
      <c r="K896" s="50"/>
      <c r="L896" s="43" t="str">
        <f t="shared" si="1"/>
        <v/>
      </c>
      <c r="M896" s="44"/>
    </row>
    <row r="897" ht="15.75" customHeight="1">
      <c r="A897" s="48"/>
      <c r="B897" s="44"/>
      <c r="C897" s="31" t="str">
        <f t="array" ref="C897">IF(B897="","",IFERROR(INDEX(Listas!$Q$5:$Q$20,MATCH(B897,Listas!$P$5:$P$20,0)),""))</f>
        <v/>
      </c>
      <c r="D897" s="44"/>
      <c r="E897" s="44"/>
      <c r="F897" s="44"/>
      <c r="G897" s="44"/>
      <c r="H897" s="44"/>
      <c r="I897" s="49"/>
      <c r="J897" s="47"/>
      <c r="K897" s="50"/>
      <c r="L897" s="43" t="str">
        <f t="shared" si="1"/>
        <v/>
      </c>
      <c r="M897" s="44"/>
    </row>
    <row r="898" ht="15.75" customHeight="1">
      <c r="A898" s="48"/>
      <c r="B898" s="44"/>
      <c r="C898" s="31" t="str">
        <f t="array" ref="C898">IF(B898="","",IFERROR(INDEX(Listas!$Q$5:$Q$20,MATCH(B898,Listas!$P$5:$P$20,0)),""))</f>
        <v/>
      </c>
      <c r="D898" s="44"/>
      <c r="E898" s="44"/>
      <c r="F898" s="44"/>
      <c r="G898" s="44"/>
      <c r="H898" s="44"/>
      <c r="I898" s="49"/>
      <c r="J898" s="47"/>
      <c r="K898" s="50"/>
      <c r="L898" s="43" t="str">
        <f t="shared" si="1"/>
        <v/>
      </c>
      <c r="M898" s="44"/>
    </row>
    <row r="899" ht="15.75" customHeight="1">
      <c r="A899" s="48"/>
      <c r="B899" s="44"/>
      <c r="C899" s="31" t="str">
        <f t="array" ref="C899">IF(B899="","",IFERROR(INDEX(Listas!$Q$5:$Q$20,MATCH(B899,Listas!$P$5:$P$20,0)),""))</f>
        <v/>
      </c>
      <c r="D899" s="44"/>
      <c r="E899" s="44"/>
      <c r="F899" s="44"/>
      <c r="G899" s="44"/>
      <c r="H899" s="44"/>
      <c r="I899" s="49"/>
      <c r="J899" s="47"/>
      <c r="K899" s="50"/>
      <c r="L899" s="43" t="str">
        <f t="shared" si="1"/>
        <v/>
      </c>
      <c r="M899" s="44"/>
    </row>
    <row r="900" ht="15.75" customHeight="1">
      <c r="A900" s="48"/>
      <c r="B900" s="44"/>
      <c r="C900" s="31" t="str">
        <f t="array" ref="C900">IF(B900="","",IFERROR(INDEX(Listas!$Q$5:$Q$20,MATCH(B900,Listas!$P$5:$P$20,0)),""))</f>
        <v/>
      </c>
      <c r="D900" s="44"/>
      <c r="E900" s="44"/>
      <c r="F900" s="44"/>
      <c r="G900" s="44"/>
      <c r="H900" s="44"/>
      <c r="I900" s="49"/>
      <c r="J900" s="47"/>
      <c r="K900" s="50"/>
      <c r="L900" s="43" t="str">
        <f t="shared" si="1"/>
        <v/>
      </c>
      <c r="M900" s="44"/>
    </row>
    <row r="901" ht="15.75" customHeight="1">
      <c r="A901" s="48"/>
      <c r="B901" s="44"/>
      <c r="C901" s="31" t="str">
        <f t="array" ref="C901">IF(B901="","",IFERROR(INDEX(Listas!$Q$5:$Q$20,MATCH(B901,Listas!$P$5:$P$20,0)),""))</f>
        <v/>
      </c>
      <c r="D901" s="44"/>
      <c r="E901" s="44"/>
      <c r="F901" s="44"/>
      <c r="G901" s="44"/>
      <c r="H901" s="44"/>
      <c r="I901" s="49"/>
      <c r="J901" s="47"/>
      <c r="K901" s="50"/>
      <c r="L901" s="43" t="str">
        <f t="shared" si="1"/>
        <v/>
      </c>
      <c r="M901" s="44"/>
    </row>
    <row r="902" ht="15.75" customHeight="1">
      <c r="A902" s="48"/>
      <c r="B902" s="44"/>
      <c r="C902" s="31" t="str">
        <f t="array" ref="C902">IF(B902="","",IFERROR(INDEX(Listas!$Q$5:$Q$20,MATCH(B902,Listas!$P$5:$P$20,0)),""))</f>
        <v/>
      </c>
      <c r="D902" s="44"/>
      <c r="E902" s="44"/>
      <c r="F902" s="44"/>
      <c r="G902" s="44"/>
      <c r="H902" s="44"/>
      <c r="I902" s="49"/>
      <c r="J902" s="47"/>
      <c r="K902" s="50"/>
      <c r="L902" s="43" t="str">
        <f t="shared" si="1"/>
        <v/>
      </c>
      <c r="M902" s="44"/>
    </row>
    <row r="903" ht="15.75" customHeight="1">
      <c r="A903" s="48"/>
      <c r="B903" s="44"/>
      <c r="C903" s="31" t="str">
        <f t="array" ref="C903">IF(B903="","",IFERROR(INDEX(Listas!$Q$5:$Q$20,MATCH(B903,Listas!$P$5:$P$20,0)),""))</f>
        <v/>
      </c>
      <c r="D903" s="44"/>
      <c r="E903" s="44"/>
      <c r="F903" s="44"/>
      <c r="G903" s="44"/>
      <c r="H903" s="44"/>
      <c r="I903" s="49"/>
      <c r="J903" s="47"/>
      <c r="K903" s="50"/>
      <c r="L903" s="43" t="str">
        <f t="shared" si="1"/>
        <v/>
      </c>
      <c r="M903" s="44"/>
    </row>
    <row r="904" ht="15.75" customHeight="1">
      <c r="A904" s="48"/>
      <c r="B904" s="44"/>
      <c r="C904" s="31" t="str">
        <f t="array" ref="C904">IF(B904="","",IFERROR(INDEX(Listas!$Q$5:$Q$20,MATCH(B904,Listas!$P$5:$P$20,0)),""))</f>
        <v/>
      </c>
      <c r="D904" s="44"/>
      <c r="E904" s="44"/>
      <c r="F904" s="44"/>
      <c r="G904" s="44"/>
      <c r="H904" s="44"/>
      <c r="I904" s="49"/>
      <c r="J904" s="47"/>
      <c r="K904" s="50"/>
      <c r="L904" s="43" t="str">
        <f t="shared" si="1"/>
        <v/>
      </c>
      <c r="M904" s="44"/>
    </row>
    <row r="905" ht="15.75" customHeight="1">
      <c r="A905" s="48"/>
      <c r="B905" s="44"/>
      <c r="C905" s="31" t="str">
        <f t="array" ref="C905">IF(B905="","",IFERROR(INDEX(Listas!$Q$5:$Q$20,MATCH(B905,Listas!$P$5:$P$20,0)),""))</f>
        <v/>
      </c>
      <c r="D905" s="44"/>
      <c r="E905" s="44"/>
      <c r="F905" s="44"/>
      <c r="G905" s="44"/>
      <c r="H905" s="44"/>
      <c r="I905" s="49"/>
      <c r="J905" s="47"/>
      <c r="K905" s="50"/>
      <c r="L905" s="43" t="str">
        <f t="shared" si="1"/>
        <v/>
      </c>
      <c r="M905" s="44"/>
    </row>
    <row r="906" ht="15.75" customHeight="1">
      <c r="A906" s="48"/>
      <c r="B906" s="44"/>
      <c r="C906" s="31" t="str">
        <f t="array" ref="C906">IF(B906="","",IFERROR(INDEX(Listas!$Q$5:$Q$20,MATCH(B906,Listas!$P$5:$P$20,0)),""))</f>
        <v/>
      </c>
      <c r="D906" s="44"/>
      <c r="E906" s="44"/>
      <c r="F906" s="44"/>
      <c r="G906" s="44"/>
      <c r="H906" s="44"/>
      <c r="I906" s="49"/>
      <c r="J906" s="47"/>
      <c r="K906" s="50"/>
      <c r="L906" s="43" t="str">
        <f t="shared" si="1"/>
        <v/>
      </c>
      <c r="M906" s="44"/>
    </row>
    <row r="907" ht="15.75" customHeight="1">
      <c r="A907" s="48"/>
      <c r="B907" s="44"/>
      <c r="C907" s="31" t="str">
        <f t="array" ref="C907">IF(B907="","",IFERROR(INDEX(Listas!$Q$5:$Q$20,MATCH(B907,Listas!$P$5:$P$20,0)),""))</f>
        <v/>
      </c>
      <c r="D907" s="44"/>
      <c r="E907" s="44"/>
      <c r="F907" s="44"/>
      <c r="G907" s="44"/>
      <c r="H907" s="44"/>
      <c r="I907" s="49"/>
      <c r="J907" s="47"/>
      <c r="K907" s="50"/>
      <c r="L907" s="43" t="str">
        <f t="shared" si="1"/>
        <v/>
      </c>
      <c r="M907" s="44"/>
    </row>
    <row r="908" ht="15.75" customHeight="1">
      <c r="A908" s="48"/>
      <c r="B908" s="44"/>
      <c r="C908" s="31" t="str">
        <f t="array" ref="C908">IF(B908="","",IFERROR(INDEX(Listas!$Q$5:$Q$20,MATCH(B908,Listas!$P$5:$P$20,0)),""))</f>
        <v/>
      </c>
      <c r="D908" s="44"/>
      <c r="E908" s="44"/>
      <c r="F908" s="44"/>
      <c r="G908" s="44"/>
      <c r="H908" s="44"/>
      <c r="I908" s="49"/>
      <c r="J908" s="47"/>
      <c r="K908" s="50"/>
      <c r="L908" s="43" t="str">
        <f t="shared" si="1"/>
        <v/>
      </c>
      <c r="M908" s="44"/>
    </row>
    <row r="909" ht="15.75" customHeight="1">
      <c r="A909" s="48"/>
      <c r="B909" s="44"/>
      <c r="C909" s="31" t="str">
        <f t="array" ref="C909">IF(B909="","",IFERROR(INDEX(Listas!$Q$5:$Q$20,MATCH(B909,Listas!$P$5:$P$20,0)),""))</f>
        <v/>
      </c>
      <c r="D909" s="44"/>
      <c r="E909" s="44"/>
      <c r="F909" s="44"/>
      <c r="G909" s="44"/>
      <c r="H909" s="44"/>
      <c r="I909" s="49"/>
      <c r="J909" s="47"/>
      <c r="K909" s="50"/>
      <c r="L909" s="43" t="str">
        <f t="shared" si="1"/>
        <v/>
      </c>
      <c r="M909" s="44"/>
    </row>
    <row r="910" ht="15.75" customHeight="1">
      <c r="A910" s="48"/>
      <c r="B910" s="44"/>
      <c r="C910" s="31" t="str">
        <f t="array" ref="C910">IF(B910="","",IFERROR(INDEX(Listas!$Q$5:$Q$20,MATCH(B910,Listas!$P$5:$P$20,0)),""))</f>
        <v/>
      </c>
      <c r="D910" s="44"/>
      <c r="E910" s="44"/>
      <c r="F910" s="44"/>
      <c r="G910" s="44"/>
      <c r="H910" s="44"/>
      <c r="I910" s="49"/>
      <c r="J910" s="47"/>
      <c r="K910" s="50"/>
      <c r="L910" s="43" t="str">
        <f t="shared" si="1"/>
        <v/>
      </c>
      <c r="M910" s="44"/>
    </row>
    <row r="911" ht="15.75" customHeight="1">
      <c r="A911" s="48"/>
      <c r="B911" s="44"/>
      <c r="C911" s="31" t="str">
        <f t="array" ref="C911">IF(B911="","",IFERROR(INDEX(Listas!$Q$5:$Q$20,MATCH(B911,Listas!$P$5:$P$20,0)),""))</f>
        <v/>
      </c>
      <c r="D911" s="44"/>
      <c r="E911" s="44"/>
      <c r="F911" s="44"/>
      <c r="G911" s="44"/>
      <c r="H911" s="44"/>
      <c r="I911" s="49"/>
      <c r="J911" s="47"/>
      <c r="K911" s="50"/>
      <c r="L911" s="43" t="str">
        <f t="shared" si="1"/>
        <v/>
      </c>
      <c r="M911" s="44"/>
    </row>
    <row r="912" ht="15.75" customHeight="1">
      <c r="A912" s="48"/>
      <c r="B912" s="44"/>
      <c r="C912" s="31" t="str">
        <f t="array" ref="C912">IF(B912="","",IFERROR(INDEX(Listas!$Q$5:$Q$20,MATCH(B912,Listas!$P$5:$P$20,0)),""))</f>
        <v/>
      </c>
      <c r="D912" s="44"/>
      <c r="E912" s="44"/>
      <c r="F912" s="44"/>
      <c r="G912" s="44"/>
      <c r="H912" s="44"/>
      <c r="I912" s="49"/>
      <c r="J912" s="47"/>
      <c r="K912" s="50"/>
      <c r="L912" s="43" t="str">
        <f t="shared" si="1"/>
        <v/>
      </c>
      <c r="M912" s="44"/>
    </row>
    <row r="913" ht="15.75" customHeight="1">
      <c r="A913" s="48"/>
      <c r="B913" s="44"/>
      <c r="C913" s="31" t="str">
        <f t="array" ref="C913">IF(B913="","",IFERROR(INDEX(Listas!$Q$5:$Q$20,MATCH(B913,Listas!$P$5:$P$20,0)),""))</f>
        <v/>
      </c>
      <c r="D913" s="44"/>
      <c r="E913" s="44"/>
      <c r="F913" s="44"/>
      <c r="G913" s="44"/>
      <c r="H913" s="44"/>
      <c r="I913" s="49"/>
      <c r="J913" s="47"/>
      <c r="K913" s="50"/>
      <c r="L913" s="43" t="str">
        <f t="shared" si="1"/>
        <v/>
      </c>
      <c r="M913" s="44"/>
    </row>
    <row r="914" ht="15.75" customHeight="1">
      <c r="A914" s="48"/>
      <c r="B914" s="44"/>
      <c r="C914" s="31" t="str">
        <f t="array" ref="C914">IF(B914="","",IFERROR(INDEX(Listas!$Q$5:$Q$20,MATCH(B914,Listas!$P$5:$P$20,0)),""))</f>
        <v/>
      </c>
      <c r="D914" s="44"/>
      <c r="E914" s="44"/>
      <c r="F914" s="44"/>
      <c r="G914" s="44"/>
      <c r="H914" s="44"/>
      <c r="I914" s="49"/>
      <c r="J914" s="47"/>
      <c r="K914" s="50"/>
      <c r="L914" s="43" t="str">
        <f t="shared" si="1"/>
        <v/>
      </c>
      <c r="M914" s="44"/>
    </row>
    <row r="915" ht="15.75" customHeight="1">
      <c r="A915" s="48"/>
      <c r="B915" s="44"/>
      <c r="C915" s="31" t="str">
        <f t="array" ref="C915">IF(B915="","",IFERROR(INDEX(Listas!$Q$5:$Q$20,MATCH(B915,Listas!$P$5:$P$20,0)),""))</f>
        <v/>
      </c>
      <c r="D915" s="44"/>
      <c r="E915" s="44"/>
      <c r="F915" s="44"/>
      <c r="G915" s="44"/>
      <c r="H915" s="44"/>
      <c r="I915" s="49"/>
      <c r="J915" s="47"/>
      <c r="K915" s="50"/>
      <c r="L915" s="43" t="str">
        <f t="shared" si="1"/>
        <v/>
      </c>
      <c r="M915" s="44"/>
    </row>
    <row r="916" ht="15.75" customHeight="1">
      <c r="A916" s="48"/>
      <c r="B916" s="44"/>
      <c r="C916" s="31" t="str">
        <f t="array" ref="C916">IF(B916="","",IFERROR(INDEX(Listas!$Q$5:$Q$20,MATCH(B916,Listas!$P$5:$P$20,0)),""))</f>
        <v/>
      </c>
      <c r="D916" s="44"/>
      <c r="E916" s="44"/>
      <c r="F916" s="44"/>
      <c r="G916" s="44"/>
      <c r="H916" s="44"/>
      <c r="I916" s="49"/>
      <c r="J916" s="47"/>
      <c r="K916" s="50"/>
      <c r="L916" s="43" t="str">
        <f t="shared" si="1"/>
        <v/>
      </c>
      <c r="M916" s="44"/>
    </row>
    <row r="917" ht="15.75" customHeight="1">
      <c r="A917" s="48"/>
      <c r="B917" s="44"/>
      <c r="C917" s="31" t="str">
        <f t="array" ref="C917">IF(B917="","",IFERROR(INDEX(Listas!$Q$5:$Q$20,MATCH(B917,Listas!$P$5:$P$20,0)),""))</f>
        <v/>
      </c>
      <c r="D917" s="44"/>
      <c r="E917" s="44"/>
      <c r="F917" s="44"/>
      <c r="G917" s="44"/>
      <c r="H917" s="44"/>
      <c r="I917" s="49"/>
      <c r="J917" s="47"/>
      <c r="K917" s="50"/>
      <c r="L917" s="43" t="str">
        <f t="shared" si="1"/>
        <v/>
      </c>
      <c r="M917" s="44"/>
    </row>
    <row r="918" ht="15.75" customHeight="1">
      <c r="A918" s="48"/>
      <c r="B918" s="44"/>
      <c r="C918" s="31" t="str">
        <f t="array" ref="C918">IF(B918="","",IFERROR(INDEX(Listas!$Q$5:$Q$20,MATCH(B918,Listas!$P$5:$P$20,0)),""))</f>
        <v/>
      </c>
      <c r="D918" s="44"/>
      <c r="E918" s="44"/>
      <c r="F918" s="44"/>
      <c r="G918" s="44"/>
      <c r="H918" s="44"/>
      <c r="I918" s="49"/>
      <c r="J918" s="47"/>
      <c r="K918" s="50"/>
      <c r="L918" s="43" t="str">
        <f t="shared" si="1"/>
        <v/>
      </c>
      <c r="M918" s="44"/>
    </row>
    <row r="919" ht="15.75" customHeight="1">
      <c r="A919" s="48"/>
      <c r="B919" s="44"/>
      <c r="C919" s="31" t="str">
        <f t="array" ref="C919">IF(B919="","",IFERROR(INDEX(Listas!$Q$5:$Q$20,MATCH(B919,Listas!$P$5:$P$20,0)),""))</f>
        <v/>
      </c>
      <c r="D919" s="44"/>
      <c r="E919" s="44"/>
      <c r="F919" s="44"/>
      <c r="G919" s="44"/>
      <c r="H919" s="44"/>
      <c r="I919" s="49"/>
      <c r="J919" s="47"/>
      <c r="K919" s="50"/>
      <c r="L919" s="43" t="str">
        <f t="shared" si="1"/>
        <v/>
      </c>
      <c r="M919" s="44"/>
    </row>
    <row r="920" ht="15.75" customHeight="1">
      <c r="A920" s="48"/>
      <c r="B920" s="44"/>
      <c r="C920" s="31" t="str">
        <f t="array" ref="C920">IF(B920="","",IFERROR(INDEX(Listas!$Q$5:$Q$20,MATCH(B920,Listas!$P$5:$P$20,0)),""))</f>
        <v/>
      </c>
      <c r="D920" s="44"/>
      <c r="E920" s="44"/>
      <c r="F920" s="44"/>
      <c r="G920" s="44"/>
      <c r="H920" s="44"/>
      <c r="I920" s="49"/>
      <c r="J920" s="47"/>
      <c r="K920" s="50"/>
      <c r="L920" s="43" t="str">
        <f t="shared" si="1"/>
        <v/>
      </c>
      <c r="M920" s="44"/>
    </row>
    <row r="921" ht="15.75" customHeight="1">
      <c r="A921" s="48"/>
      <c r="B921" s="44"/>
      <c r="C921" s="31" t="str">
        <f t="array" ref="C921">IF(B921="","",IFERROR(INDEX(Listas!$Q$5:$Q$20,MATCH(B921,Listas!$P$5:$P$20,0)),""))</f>
        <v/>
      </c>
      <c r="D921" s="44"/>
      <c r="E921" s="44"/>
      <c r="F921" s="44"/>
      <c r="G921" s="44"/>
      <c r="H921" s="44"/>
      <c r="I921" s="49"/>
      <c r="J921" s="47"/>
      <c r="K921" s="50"/>
      <c r="L921" s="43" t="str">
        <f t="shared" si="1"/>
        <v/>
      </c>
      <c r="M921" s="44"/>
    </row>
    <row r="922" ht="15.75" customHeight="1">
      <c r="A922" s="48"/>
      <c r="B922" s="44"/>
      <c r="C922" s="31" t="str">
        <f t="array" ref="C922">IF(B922="","",IFERROR(INDEX(Listas!$Q$5:$Q$20,MATCH(B922,Listas!$P$5:$P$20,0)),""))</f>
        <v/>
      </c>
      <c r="D922" s="44"/>
      <c r="E922" s="44"/>
      <c r="F922" s="44"/>
      <c r="G922" s="44"/>
      <c r="H922" s="44"/>
      <c r="I922" s="49"/>
      <c r="J922" s="47"/>
      <c r="K922" s="50"/>
      <c r="L922" s="43" t="str">
        <f t="shared" si="1"/>
        <v/>
      </c>
      <c r="M922" s="44"/>
    </row>
    <row r="923" ht="15.75" customHeight="1">
      <c r="A923" s="48"/>
      <c r="B923" s="44"/>
      <c r="C923" s="31" t="str">
        <f t="array" ref="C923">IF(B923="","",IFERROR(INDEX(Listas!$Q$5:$Q$20,MATCH(B923,Listas!$P$5:$P$20,0)),""))</f>
        <v/>
      </c>
      <c r="D923" s="44"/>
      <c r="E923" s="44"/>
      <c r="F923" s="44"/>
      <c r="G923" s="44"/>
      <c r="H923" s="44"/>
      <c r="I923" s="49"/>
      <c r="J923" s="47"/>
      <c r="K923" s="50"/>
      <c r="L923" s="43" t="str">
        <f t="shared" si="1"/>
        <v/>
      </c>
      <c r="M923" s="44"/>
    </row>
    <row r="924" ht="15.75" customHeight="1">
      <c r="A924" s="48"/>
      <c r="B924" s="44"/>
      <c r="C924" s="31" t="str">
        <f t="array" ref="C924">IF(B924="","",IFERROR(INDEX(Listas!$Q$5:$Q$20,MATCH(B924,Listas!$P$5:$P$20,0)),""))</f>
        <v/>
      </c>
      <c r="D924" s="44"/>
      <c r="E924" s="44"/>
      <c r="F924" s="44"/>
      <c r="G924" s="44"/>
      <c r="H924" s="44"/>
      <c r="I924" s="49"/>
      <c r="J924" s="47"/>
      <c r="K924" s="50"/>
      <c r="L924" s="43" t="str">
        <f t="shared" si="1"/>
        <v/>
      </c>
      <c r="M924" s="44"/>
    </row>
    <row r="925" ht="15.75" customHeight="1">
      <c r="A925" s="48"/>
      <c r="B925" s="44"/>
      <c r="C925" s="31" t="str">
        <f t="array" ref="C925">IF(B925="","",IFERROR(INDEX(Listas!$Q$5:$Q$20,MATCH(B925,Listas!$P$5:$P$20,0)),""))</f>
        <v/>
      </c>
      <c r="D925" s="44"/>
      <c r="E925" s="44"/>
      <c r="F925" s="44"/>
      <c r="G925" s="44"/>
      <c r="H925" s="44"/>
      <c r="I925" s="49"/>
      <c r="J925" s="47"/>
      <c r="K925" s="50"/>
      <c r="L925" s="43" t="str">
        <f t="shared" si="1"/>
        <v/>
      </c>
      <c r="M925" s="44"/>
    </row>
    <row r="926" ht="15.75" customHeight="1">
      <c r="A926" s="48"/>
      <c r="B926" s="44"/>
      <c r="C926" s="31" t="str">
        <f t="array" ref="C926">IF(B926="","",IFERROR(INDEX(Listas!$Q$5:$Q$20,MATCH(B926,Listas!$P$5:$P$20,0)),""))</f>
        <v/>
      </c>
      <c r="D926" s="44"/>
      <c r="E926" s="44"/>
      <c r="F926" s="44"/>
      <c r="G926" s="44"/>
      <c r="H926" s="44"/>
      <c r="I926" s="49"/>
      <c r="J926" s="47"/>
      <c r="K926" s="50"/>
      <c r="L926" s="43" t="str">
        <f t="shared" si="1"/>
        <v/>
      </c>
      <c r="M926" s="44"/>
    </row>
    <row r="927" ht="15.75" customHeight="1">
      <c r="A927" s="48"/>
      <c r="B927" s="44"/>
      <c r="C927" s="31" t="str">
        <f t="array" ref="C927">IF(B927="","",IFERROR(INDEX(Listas!$Q$5:$Q$20,MATCH(B927,Listas!$P$5:$P$20,0)),""))</f>
        <v/>
      </c>
      <c r="D927" s="44"/>
      <c r="E927" s="44"/>
      <c r="F927" s="44"/>
      <c r="G927" s="44"/>
      <c r="H927" s="44"/>
      <c r="I927" s="49"/>
      <c r="J927" s="47"/>
      <c r="K927" s="50"/>
      <c r="L927" s="43" t="str">
        <f t="shared" si="1"/>
        <v/>
      </c>
      <c r="M927" s="44"/>
    </row>
    <row r="928" ht="15.75" customHeight="1">
      <c r="A928" s="48"/>
      <c r="B928" s="44"/>
      <c r="C928" s="31" t="str">
        <f t="array" ref="C928">IF(B928="","",IFERROR(INDEX(Listas!$Q$5:$Q$20,MATCH(B928,Listas!$P$5:$P$20,0)),""))</f>
        <v/>
      </c>
      <c r="D928" s="44"/>
      <c r="E928" s="44"/>
      <c r="F928" s="44"/>
      <c r="G928" s="44"/>
      <c r="H928" s="44"/>
      <c r="I928" s="49"/>
      <c r="J928" s="47"/>
      <c r="K928" s="50"/>
      <c r="L928" s="43" t="str">
        <f t="shared" si="1"/>
        <v/>
      </c>
      <c r="M928" s="44"/>
    </row>
    <row r="929" ht="15.75" customHeight="1">
      <c r="A929" s="48"/>
      <c r="B929" s="44"/>
      <c r="C929" s="31" t="str">
        <f t="array" ref="C929">IF(B929="","",IFERROR(INDEX(Listas!$Q$5:$Q$20,MATCH(B929,Listas!$P$5:$P$20,0)),""))</f>
        <v/>
      </c>
      <c r="D929" s="44"/>
      <c r="E929" s="44"/>
      <c r="F929" s="44"/>
      <c r="G929" s="44"/>
      <c r="H929" s="44"/>
      <c r="I929" s="49"/>
      <c r="J929" s="47"/>
      <c r="K929" s="50"/>
      <c r="L929" s="43" t="str">
        <f t="shared" si="1"/>
        <v/>
      </c>
      <c r="M929" s="44"/>
    </row>
    <row r="930" ht="15.75" customHeight="1">
      <c r="A930" s="48"/>
      <c r="B930" s="44"/>
      <c r="C930" s="31" t="str">
        <f t="array" ref="C930">IF(B930="","",IFERROR(INDEX(Listas!$Q$5:$Q$20,MATCH(B930,Listas!$P$5:$P$20,0)),""))</f>
        <v/>
      </c>
      <c r="D930" s="44"/>
      <c r="E930" s="44"/>
      <c r="F930" s="44"/>
      <c r="G930" s="44"/>
      <c r="H930" s="44"/>
      <c r="I930" s="49"/>
      <c r="J930" s="47"/>
      <c r="K930" s="50"/>
      <c r="L930" s="43" t="str">
        <f t="shared" si="1"/>
        <v/>
      </c>
      <c r="M930" s="44"/>
    </row>
    <row r="931" ht="15.75" customHeight="1">
      <c r="A931" s="48"/>
      <c r="B931" s="44"/>
      <c r="C931" s="31" t="str">
        <f t="array" ref="C931">IF(B931="","",IFERROR(INDEX(Listas!$Q$5:$Q$20,MATCH(B931,Listas!$P$5:$P$20,0)),""))</f>
        <v/>
      </c>
      <c r="D931" s="44"/>
      <c r="E931" s="44"/>
      <c r="F931" s="44"/>
      <c r="G931" s="44"/>
      <c r="H931" s="44"/>
      <c r="I931" s="49"/>
      <c r="J931" s="47"/>
      <c r="K931" s="50"/>
      <c r="L931" s="43" t="str">
        <f t="shared" si="1"/>
        <v/>
      </c>
      <c r="M931" s="44"/>
    </row>
    <row r="932" ht="15.75" customHeight="1">
      <c r="A932" s="48"/>
      <c r="B932" s="44"/>
      <c r="C932" s="31" t="str">
        <f t="array" ref="C932">IF(B932="","",IFERROR(INDEX(Listas!$Q$5:$Q$20,MATCH(B932,Listas!$P$5:$P$20,0)),""))</f>
        <v/>
      </c>
      <c r="D932" s="44"/>
      <c r="E932" s="44"/>
      <c r="F932" s="44"/>
      <c r="G932" s="44"/>
      <c r="H932" s="44"/>
      <c r="I932" s="49"/>
      <c r="J932" s="47"/>
      <c r="K932" s="50"/>
      <c r="L932" s="43" t="str">
        <f t="shared" si="1"/>
        <v/>
      </c>
      <c r="M932" s="44"/>
    </row>
    <row r="933" ht="15.75" customHeight="1">
      <c r="A933" s="48"/>
      <c r="B933" s="44"/>
      <c r="C933" s="31" t="str">
        <f t="array" ref="C933">IF(B933="","",IFERROR(INDEX(Listas!$Q$5:$Q$20,MATCH(B933,Listas!$P$5:$P$20,0)),""))</f>
        <v/>
      </c>
      <c r="D933" s="44"/>
      <c r="E933" s="44"/>
      <c r="F933" s="44"/>
      <c r="G933" s="44"/>
      <c r="H933" s="44"/>
      <c r="I933" s="49"/>
      <c r="J933" s="47"/>
      <c r="K933" s="50"/>
      <c r="L933" s="43" t="str">
        <f t="shared" si="1"/>
        <v/>
      </c>
      <c r="M933" s="44"/>
    </row>
    <row r="934" ht="15.75" customHeight="1">
      <c r="A934" s="48"/>
      <c r="B934" s="44"/>
      <c r="C934" s="31" t="str">
        <f t="array" ref="C934">IF(B934="","",IFERROR(INDEX(Listas!$Q$5:$Q$20,MATCH(B934,Listas!$P$5:$P$20,0)),""))</f>
        <v/>
      </c>
      <c r="D934" s="44"/>
      <c r="E934" s="44"/>
      <c r="F934" s="44"/>
      <c r="G934" s="44"/>
      <c r="H934" s="44"/>
      <c r="I934" s="49"/>
      <c r="J934" s="47"/>
      <c r="K934" s="50"/>
      <c r="L934" s="43" t="str">
        <f t="shared" si="1"/>
        <v/>
      </c>
      <c r="M934" s="44"/>
    </row>
    <row r="935" ht="15.75" customHeight="1">
      <c r="A935" s="48"/>
      <c r="B935" s="44"/>
      <c r="C935" s="31" t="str">
        <f t="array" ref="C935">IF(B935="","",IFERROR(INDEX(Listas!$Q$5:$Q$20,MATCH(B935,Listas!$P$5:$P$20,0)),""))</f>
        <v/>
      </c>
      <c r="D935" s="44"/>
      <c r="E935" s="44"/>
      <c r="F935" s="44"/>
      <c r="G935" s="44"/>
      <c r="H935" s="44"/>
      <c r="I935" s="49"/>
      <c r="J935" s="47"/>
      <c r="K935" s="50"/>
      <c r="L935" s="43" t="str">
        <f t="shared" si="1"/>
        <v/>
      </c>
      <c r="M935" s="44"/>
    </row>
    <row r="936" ht="15.75" customHeight="1">
      <c r="A936" s="48"/>
      <c r="B936" s="44"/>
      <c r="C936" s="31" t="str">
        <f t="array" ref="C936">IF(B936="","",IFERROR(INDEX(Listas!$Q$5:$Q$20,MATCH(B936,Listas!$P$5:$P$20,0)),""))</f>
        <v/>
      </c>
      <c r="D936" s="44"/>
      <c r="E936" s="44"/>
      <c r="F936" s="44"/>
      <c r="G936" s="44"/>
      <c r="H936" s="44"/>
      <c r="I936" s="49"/>
      <c r="J936" s="47"/>
      <c r="K936" s="50"/>
      <c r="L936" s="43" t="str">
        <f t="shared" si="1"/>
        <v/>
      </c>
      <c r="M936" s="44"/>
    </row>
    <row r="937" ht="15.75" customHeight="1">
      <c r="A937" s="48"/>
      <c r="B937" s="44"/>
      <c r="C937" s="31" t="str">
        <f t="array" ref="C937">IF(B937="","",IFERROR(INDEX(Listas!$Q$5:$Q$20,MATCH(B937,Listas!$P$5:$P$20,0)),""))</f>
        <v/>
      </c>
      <c r="D937" s="44"/>
      <c r="E937" s="44"/>
      <c r="F937" s="44"/>
      <c r="G937" s="44"/>
      <c r="H937" s="44"/>
      <c r="I937" s="49"/>
      <c r="J937" s="47"/>
      <c r="K937" s="50"/>
      <c r="L937" s="43" t="str">
        <f t="shared" si="1"/>
        <v/>
      </c>
      <c r="M937" s="44"/>
    </row>
    <row r="938" ht="15.75" customHeight="1">
      <c r="A938" s="48"/>
      <c r="B938" s="44"/>
      <c r="C938" s="31" t="str">
        <f t="array" ref="C938">IF(B938="","",IFERROR(INDEX(Listas!$Q$5:$Q$20,MATCH(B938,Listas!$P$5:$P$20,0)),""))</f>
        <v/>
      </c>
      <c r="D938" s="44"/>
      <c r="E938" s="44"/>
      <c r="F938" s="44"/>
      <c r="G938" s="44"/>
      <c r="H938" s="44"/>
      <c r="I938" s="49"/>
      <c r="J938" s="47"/>
      <c r="K938" s="50"/>
      <c r="L938" s="43" t="str">
        <f t="shared" si="1"/>
        <v/>
      </c>
      <c r="M938" s="44"/>
    </row>
    <row r="939" ht="15.75" customHeight="1">
      <c r="A939" s="48"/>
      <c r="B939" s="44"/>
      <c r="C939" s="31" t="str">
        <f t="array" ref="C939">IF(B939="","",IFERROR(INDEX(Listas!$Q$5:$Q$20,MATCH(B939,Listas!$P$5:$P$20,0)),""))</f>
        <v/>
      </c>
      <c r="D939" s="44"/>
      <c r="E939" s="44"/>
      <c r="F939" s="44"/>
      <c r="G939" s="44"/>
      <c r="H939" s="44"/>
      <c r="I939" s="49"/>
      <c r="J939" s="47"/>
      <c r="K939" s="50"/>
      <c r="L939" s="43" t="str">
        <f t="shared" si="1"/>
        <v/>
      </c>
      <c r="M939" s="44"/>
    </row>
    <row r="940" ht="15.75" customHeight="1">
      <c r="A940" s="48"/>
      <c r="B940" s="44"/>
      <c r="C940" s="31" t="str">
        <f t="array" ref="C940">IF(B940="","",IFERROR(INDEX(Listas!$Q$5:$Q$20,MATCH(B940,Listas!$P$5:$P$20,0)),""))</f>
        <v/>
      </c>
      <c r="D940" s="44"/>
      <c r="E940" s="44"/>
      <c r="F940" s="44"/>
      <c r="G940" s="44"/>
      <c r="H940" s="44"/>
      <c r="I940" s="49"/>
      <c r="J940" s="47"/>
      <c r="K940" s="50"/>
      <c r="L940" s="43" t="str">
        <f t="shared" si="1"/>
        <v/>
      </c>
      <c r="M940" s="44"/>
    </row>
    <row r="941" ht="15.75" customHeight="1">
      <c r="A941" s="48"/>
      <c r="B941" s="44"/>
      <c r="C941" s="31" t="str">
        <f t="array" ref="C941">IF(B941="","",IFERROR(INDEX(Listas!$Q$5:$Q$20,MATCH(B941,Listas!$P$5:$P$20,0)),""))</f>
        <v/>
      </c>
      <c r="D941" s="44"/>
      <c r="E941" s="44"/>
      <c r="F941" s="44"/>
      <c r="G941" s="44"/>
      <c r="H941" s="44"/>
      <c r="I941" s="49"/>
      <c r="J941" s="47"/>
      <c r="K941" s="50"/>
      <c r="L941" s="43" t="str">
        <f t="shared" si="1"/>
        <v/>
      </c>
      <c r="M941" s="44"/>
    </row>
    <row r="942" ht="15.75" customHeight="1">
      <c r="A942" s="48"/>
      <c r="B942" s="44"/>
      <c r="C942" s="31" t="str">
        <f t="array" ref="C942">IF(B942="","",IFERROR(INDEX(Listas!$Q$5:$Q$20,MATCH(B942,Listas!$P$5:$P$20,0)),""))</f>
        <v/>
      </c>
      <c r="D942" s="44"/>
      <c r="E942" s="44"/>
      <c r="F942" s="44"/>
      <c r="G942" s="44"/>
      <c r="H942" s="44"/>
      <c r="I942" s="49"/>
      <c r="J942" s="47"/>
      <c r="K942" s="50"/>
      <c r="L942" s="43" t="str">
        <f t="shared" si="1"/>
        <v/>
      </c>
      <c r="M942" s="44"/>
    </row>
    <row r="943" ht="15.75" customHeight="1">
      <c r="A943" s="48"/>
      <c r="B943" s="44"/>
      <c r="C943" s="31" t="str">
        <f t="array" ref="C943">IF(B943="","",IFERROR(INDEX(Listas!$Q$5:$Q$20,MATCH(B943,Listas!$P$5:$P$20,0)),""))</f>
        <v/>
      </c>
      <c r="D943" s="44"/>
      <c r="E943" s="44"/>
      <c r="F943" s="44"/>
      <c r="G943" s="44"/>
      <c r="H943" s="44"/>
      <c r="I943" s="49"/>
      <c r="J943" s="47"/>
      <c r="K943" s="50"/>
      <c r="L943" s="43" t="str">
        <f t="shared" si="1"/>
        <v/>
      </c>
      <c r="M943" s="44"/>
    </row>
    <row r="944" ht="15.75" customHeight="1">
      <c r="A944" s="48"/>
      <c r="B944" s="44"/>
      <c r="C944" s="31" t="str">
        <f t="array" ref="C944">IF(B944="","",IFERROR(INDEX(Listas!$Q$5:$Q$20,MATCH(B944,Listas!$P$5:$P$20,0)),""))</f>
        <v/>
      </c>
      <c r="D944" s="44"/>
      <c r="E944" s="44"/>
      <c r="F944" s="44"/>
      <c r="G944" s="44"/>
      <c r="H944" s="44"/>
      <c r="I944" s="49"/>
      <c r="J944" s="47"/>
      <c r="K944" s="50"/>
      <c r="L944" s="43" t="str">
        <f t="shared" si="1"/>
        <v/>
      </c>
      <c r="M944" s="44"/>
    </row>
    <row r="945" ht="15.75" customHeight="1">
      <c r="A945" s="48"/>
      <c r="B945" s="44"/>
      <c r="C945" s="31" t="str">
        <f t="array" ref="C945">IF(B945="","",IFERROR(INDEX(Listas!$Q$5:$Q$20,MATCH(B945,Listas!$P$5:$P$20,0)),""))</f>
        <v/>
      </c>
      <c r="D945" s="44"/>
      <c r="E945" s="44"/>
      <c r="F945" s="44"/>
      <c r="G945" s="44"/>
      <c r="H945" s="44"/>
      <c r="I945" s="49"/>
      <c r="J945" s="47"/>
      <c r="K945" s="50"/>
      <c r="L945" s="43" t="str">
        <f t="shared" si="1"/>
        <v/>
      </c>
      <c r="M945" s="44"/>
    </row>
    <row r="946" ht="15.75" customHeight="1">
      <c r="A946" s="48"/>
      <c r="B946" s="44"/>
      <c r="C946" s="31" t="str">
        <f t="array" ref="C946">IF(B946="","",IFERROR(INDEX(Listas!$Q$5:$Q$20,MATCH(B946,Listas!$P$5:$P$20,0)),""))</f>
        <v/>
      </c>
      <c r="D946" s="44"/>
      <c r="E946" s="44"/>
      <c r="F946" s="44"/>
      <c r="G946" s="44"/>
      <c r="H946" s="44"/>
      <c r="I946" s="49"/>
      <c r="J946" s="47"/>
      <c r="K946" s="50"/>
      <c r="L946" s="43" t="str">
        <f t="shared" si="1"/>
        <v/>
      </c>
      <c r="M946" s="44"/>
    </row>
    <row r="947" ht="15.75" customHeight="1">
      <c r="A947" s="48"/>
      <c r="B947" s="44"/>
      <c r="C947" s="31" t="str">
        <f t="array" ref="C947">IF(B947="","",IFERROR(INDEX(Listas!$Q$5:$Q$20,MATCH(B947,Listas!$P$5:$P$20,0)),""))</f>
        <v/>
      </c>
      <c r="D947" s="44"/>
      <c r="E947" s="44"/>
      <c r="F947" s="44"/>
      <c r="G947" s="44"/>
      <c r="H947" s="44"/>
      <c r="I947" s="49"/>
      <c r="J947" s="47"/>
      <c r="K947" s="50"/>
      <c r="L947" s="43" t="str">
        <f t="shared" si="1"/>
        <v/>
      </c>
      <c r="M947" s="44"/>
    </row>
    <row r="948" ht="15.75" customHeight="1">
      <c r="A948" s="48"/>
      <c r="B948" s="44"/>
      <c r="C948" s="31" t="str">
        <f t="array" ref="C948">IF(B948="","",IFERROR(INDEX(Listas!$Q$5:$Q$20,MATCH(B948,Listas!$P$5:$P$20,0)),""))</f>
        <v/>
      </c>
      <c r="D948" s="44"/>
      <c r="E948" s="44"/>
      <c r="F948" s="44"/>
      <c r="G948" s="44"/>
      <c r="H948" s="44"/>
      <c r="I948" s="49"/>
      <c r="J948" s="47"/>
      <c r="K948" s="50"/>
      <c r="L948" s="43" t="str">
        <f t="shared" si="1"/>
        <v/>
      </c>
      <c r="M948" s="44"/>
    </row>
    <row r="949" ht="15.75" customHeight="1">
      <c r="A949" s="48"/>
      <c r="B949" s="44"/>
      <c r="C949" s="31" t="str">
        <f t="array" ref="C949">IF(B949="","",IFERROR(INDEX(Listas!$Q$5:$Q$20,MATCH(B949,Listas!$P$5:$P$20,0)),""))</f>
        <v/>
      </c>
      <c r="D949" s="44"/>
      <c r="E949" s="44"/>
      <c r="F949" s="44"/>
      <c r="G949" s="44"/>
      <c r="H949" s="44"/>
      <c r="I949" s="49"/>
      <c r="J949" s="47"/>
      <c r="K949" s="50"/>
      <c r="L949" s="43" t="str">
        <f t="shared" si="1"/>
        <v/>
      </c>
      <c r="M949" s="44"/>
    </row>
    <row r="950" ht="15.75" customHeight="1">
      <c r="A950" s="48"/>
      <c r="B950" s="44"/>
      <c r="C950" s="31" t="str">
        <f t="array" ref="C950">IF(B950="","",IFERROR(INDEX(Listas!$Q$5:$Q$20,MATCH(B950,Listas!$P$5:$P$20,0)),""))</f>
        <v/>
      </c>
      <c r="D950" s="44"/>
      <c r="E950" s="44"/>
      <c r="F950" s="44"/>
      <c r="G950" s="44"/>
      <c r="H950" s="44"/>
      <c r="I950" s="49"/>
      <c r="J950" s="47"/>
      <c r="K950" s="50"/>
      <c r="L950" s="43" t="str">
        <f t="shared" si="1"/>
        <v/>
      </c>
      <c r="M950" s="44"/>
    </row>
    <row r="951" ht="15.75" customHeight="1">
      <c r="A951" s="48"/>
      <c r="B951" s="44"/>
      <c r="C951" s="31" t="str">
        <f t="array" ref="C951">IF(B951="","",IFERROR(INDEX(Listas!$Q$5:$Q$20,MATCH(B951,Listas!$P$5:$P$20,0)),""))</f>
        <v/>
      </c>
      <c r="D951" s="44"/>
      <c r="E951" s="44"/>
      <c r="F951" s="44"/>
      <c r="G951" s="44"/>
      <c r="H951" s="44"/>
      <c r="I951" s="49"/>
      <c r="J951" s="47"/>
      <c r="K951" s="50"/>
      <c r="L951" s="43" t="str">
        <f t="shared" si="1"/>
        <v/>
      </c>
      <c r="M951" s="44"/>
    </row>
    <row r="952" ht="15.75" customHeight="1">
      <c r="A952" s="48"/>
      <c r="B952" s="44"/>
      <c r="C952" s="31" t="str">
        <f t="array" ref="C952">IF(B952="","",IFERROR(INDEX(Listas!$Q$5:$Q$20,MATCH(B952,Listas!$P$5:$P$20,0)),""))</f>
        <v/>
      </c>
      <c r="D952" s="44"/>
      <c r="E952" s="44"/>
      <c r="F952" s="44"/>
      <c r="G952" s="44"/>
      <c r="H952" s="44"/>
      <c r="I952" s="49"/>
      <c r="J952" s="47"/>
      <c r="K952" s="50"/>
      <c r="L952" s="43" t="str">
        <f t="shared" si="1"/>
        <v/>
      </c>
      <c r="M952" s="44"/>
    </row>
    <row r="953" ht="15.75" customHeight="1">
      <c r="A953" s="48"/>
      <c r="B953" s="44"/>
      <c r="C953" s="31" t="str">
        <f t="array" ref="C953">IF(B953="","",IFERROR(INDEX(Listas!$Q$5:$Q$20,MATCH(B953,Listas!$P$5:$P$20,0)),""))</f>
        <v/>
      </c>
      <c r="D953" s="44"/>
      <c r="E953" s="44"/>
      <c r="F953" s="44"/>
      <c r="G953" s="44"/>
      <c r="H953" s="44"/>
      <c r="I953" s="49"/>
      <c r="J953" s="47"/>
      <c r="K953" s="50"/>
      <c r="L953" s="43" t="str">
        <f t="shared" si="1"/>
        <v/>
      </c>
      <c r="M953" s="44"/>
    </row>
    <row r="954" ht="15.75" customHeight="1">
      <c r="A954" s="48"/>
      <c r="B954" s="44"/>
      <c r="C954" s="31" t="str">
        <f t="array" ref="C954">IF(B954="","",IFERROR(INDEX(Listas!$Q$5:$Q$20,MATCH(B954,Listas!$P$5:$P$20,0)),""))</f>
        <v/>
      </c>
      <c r="D954" s="44"/>
      <c r="E954" s="44"/>
      <c r="F954" s="44"/>
      <c r="G954" s="44"/>
      <c r="H954" s="44"/>
      <c r="I954" s="49"/>
      <c r="J954" s="47"/>
      <c r="K954" s="50"/>
      <c r="L954" s="43" t="str">
        <f t="shared" si="1"/>
        <v/>
      </c>
      <c r="M954" s="44"/>
    </row>
    <row r="955" ht="15.75" customHeight="1">
      <c r="A955" s="48"/>
      <c r="B955" s="44"/>
      <c r="C955" s="31" t="str">
        <f t="array" ref="C955">IF(B955="","",IFERROR(INDEX(Listas!$Q$5:$Q$20,MATCH(B955,Listas!$P$5:$P$20,0)),""))</f>
        <v/>
      </c>
      <c r="D955" s="44"/>
      <c r="E955" s="44"/>
      <c r="F955" s="44"/>
      <c r="G955" s="44"/>
      <c r="H955" s="44"/>
      <c r="I955" s="49"/>
      <c r="J955" s="47"/>
      <c r="K955" s="50"/>
      <c r="L955" s="43" t="str">
        <f t="shared" si="1"/>
        <v/>
      </c>
      <c r="M955" s="44"/>
    </row>
    <row r="956" ht="15.75" customHeight="1">
      <c r="A956" s="48"/>
      <c r="B956" s="44"/>
      <c r="C956" s="31" t="str">
        <f t="array" ref="C956">IF(B956="","",IFERROR(INDEX(Listas!$Q$5:$Q$20,MATCH(B956,Listas!$P$5:$P$20,0)),""))</f>
        <v/>
      </c>
      <c r="D956" s="44"/>
      <c r="E956" s="44"/>
      <c r="F956" s="44"/>
      <c r="G956" s="44"/>
      <c r="H956" s="44"/>
      <c r="I956" s="49"/>
      <c r="J956" s="47"/>
      <c r="K956" s="50"/>
      <c r="L956" s="43" t="str">
        <f t="shared" si="1"/>
        <v/>
      </c>
      <c r="M956" s="44"/>
    </row>
    <row r="957" ht="15.75" customHeight="1">
      <c r="A957" s="48"/>
      <c r="B957" s="44"/>
      <c r="C957" s="31" t="str">
        <f t="array" ref="C957">IF(B957="","",IFERROR(INDEX(Listas!$Q$5:$Q$20,MATCH(B957,Listas!$P$5:$P$20,0)),""))</f>
        <v/>
      </c>
      <c r="D957" s="44"/>
      <c r="E957" s="44"/>
      <c r="F957" s="44"/>
      <c r="G957" s="44"/>
      <c r="H957" s="44"/>
      <c r="I957" s="49"/>
      <c r="J957" s="47"/>
      <c r="K957" s="50"/>
      <c r="L957" s="43" t="str">
        <f t="shared" si="1"/>
        <v/>
      </c>
      <c r="M957" s="44"/>
    </row>
    <row r="958" ht="15.75" customHeight="1">
      <c r="A958" s="48"/>
      <c r="B958" s="44"/>
      <c r="C958" s="31" t="str">
        <f t="array" ref="C958">IF(B958="","",IFERROR(INDEX(Listas!$Q$5:$Q$20,MATCH(B958,Listas!$P$5:$P$20,0)),""))</f>
        <v/>
      </c>
      <c r="D958" s="44"/>
      <c r="E958" s="44"/>
      <c r="F958" s="44"/>
      <c r="G958" s="44"/>
      <c r="H958" s="44"/>
      <c r="I958" s="49"/>
      <c r="J958" s="47"/>
      <c r="K958" s="50"/>
      <c r="L958" s="43" t="str">
        <f t="shared" si="1"/>
        <v/>
      </c>
      <c r="M958" s="44"/>
    </row>
    <row r="959" ht="15.75" customHeight="1">
      <c r="A959" s="48"/>
      <c r="B959" s="44"/>
      <c r="C959" s="31" t="str">
        <f t="array" ref="C959">IF(B959="","",IFERROR(INDEX(Listas!$Q$5:$Q$20,MATCH(B959,Listas!$P$5:$P$20,0)),""))</f>
        <v/>
      </c>
      <c r="D959" s="44"/>
      <c r="E959" s="44"/>
      <c r="F959" s="44"/>
      <c r="G959" s="44"/>
      <c r="H959" s="44"/>
      <c r="I959" s="49"/>
      <c r="J959" s="47"/>
      <c r="K959" s="50"/>
      <c r="L959" s="43" t="str">
        <f t="shared" si="1"/>
        <v/>
      </c>
      <c r="M959" s="44"/>
    </row>
    <row r="960" ht="15.75" customHeight="1">
      <c r="A960" s="48"/>
      <c r="B960" s="44"/>
      <c r="C960" s="31" t="str">
        <f t="array" ref="C960">IF(B960="","",IFERROR(INDEX(Listas!$Q$5:$Q$20,MATCH(B960,Listas!$P$5:$P$20,0)),""))</f>
        <v/>
      </c>
      <c r="D960" s="44"/>
      <c r="E960" s="44"/>
      <c r="F960" s="44"/>
      <c r="G960" s="44"/>
      <c r="H960" s="44"/>
      <c r="I960" s="49"/>
      <c r="J960" s="47"/>
      <c r="K960" s="50"/>
      <c r="L960" s="43" t="str">
        <f t="shared" si="1"/>
        <v/>
      </c>
      <c r="M960" s="44"/>
    </row>
    <row r="961" ht="15.75" customHeight="1">
      <c r="A961" s="48"/>
      <c r="B961" s="44"/>
      <c r="C961" s="31" t="str">
        <f t="array" ref="C961">IF(B961="","",IFERROR(INDEX(Listas!$Q$5:$Q$20,MATCH(B961,Listas!$P$5:$P$20,0)),""))</f>
        <v/>
      </c>
      <c r="D961" s="44"/>
      <c r="E961" s="44"/>
      <c r="F961" s="44"/>
      <c r="G961" s="44"/>
      <c r="H961" s="44"/>
      <c r="I961" s="49"/>
      <c r="J961" s="47"/>
      <c r="K961" s="50"/>
      <c r="L961" s="43" t="str">
        <f t="shared" si="1"/>
        <v/>
      </c>
      <c r="M961" s="44"/>
    </row>
    <row r="962" ht="15.75" customHeight="1">
      <c r="A962" s="48"/>
      <c r="B962" s="44"/>
      <c r="C962" s="31" t="str">
        <f t="array" ref="C962">IF(B962="","",IFERROR(INDEX(Listas!$Q$5:$Q$20,MATCH(B962,Listas!$P$5:$P$20,0)),""))</f>
        <v/>
      </c>
      <c r="D962" s="44"/>
      <c r="E962" s="44"/>
      <c r="F962" s="44"/>
      <c r="G962" s="44"/>
      <c r="H962" s="44"/>
      <c r="I962" s="49"/>
      <c r="J962" s="47"/>
      <c r="K962" s="50"/>
      <c r="L962" s="43" t="str">
        <f t="shared" si="1"/>
        <v/>
      </c>
      <c r="M962" s="44"/>
    </row>
    <row r="963" ht="15.75" customHeight="1">
      <c r="A963" s="48"/>
      <c r="B963" s="44"/>
      <c r="C963" s="31" t="str">
        <f t="array" ref="C963">IF(B963="","",IFERROR(INDEX(Listas!$Q$5:$Q$20,MATCH(B963,Listas!$P$5:$P$20,0)),""))</f>
        <v/>
      </c>
      <c r="D963" s="44"/>
      <c r="E963" s="44"/>
      <c r="F963" s="44"/>
      <c r="G963" s="44"/>
      <c r="H963" s="44"/>
      <c r="I963" s="49"/>
      <c r="J963" s="47"/>
      <c r="K963" s="50"/>
      <c r="L963" s="43" t="str">
        <f t="shared" si="1"/>
        <v/>
      </c>
      <c r="M963" s="44"/>
    </row>
    <row r="964" ht="15.75" customHeight="1">
      <c r="A964" s="48"/>
      <c r="B964" s="44"/>
      <c r="C964" s="31" t="str">
        <f t="array" ref="C964">IF(B964="","",IFERROR(INDEX(Listas!$Q$5:$Q$20,MATCH(B964,Listas!$P$5:$P$20,0)),""))</f>
        <v/>
      </c>
      <c r="D964" s="44"/>
      <c r="E964" s="44"/>
      <c r="F964" s="44"/>
      <c r="G964" s="44"/>
      <c r="H964" s="44"/>
      <c r="I964" s="49"/>
      <c r="J964" s="47"/>
      <c r="K964" s="50"/>
      <c r="L964" s="43" t="str">
        <f t="shared" si="1"/>
        <v/>
      </c>
      <c r="M964" s="44"/>
    </row>
    <row r="965" ht="15.75" customHeight="1">
      <c r="A965" s="48"/>
      <c r="B965" s="44"/>
      <c r="C965" s="31" t="str">
        <f t="array" ref="C965">IF(B965="","",IFERROR(INDEX(Listas!$Q$5:$Q$20,MATCH(B965,Listas!$P$5:$P$20,0)),""))</f>
        <v/>
      </c>
      <c r="D965" s="44"/>
      <c r="E965" s="44"/>
      <c r="F965" s="44"/>
      <c r="G965" s="44"/>
      <c r="H965" s="44"/>
      <c r="I965" s="49"/>
      <c r="J965" s="47"/>
      <c r="K965" s="50"/>
      <c r="L965" s="43" t="str">
        <f t="shared" si="1"/>
        <v/>
      </c>
      <c r="M965" s="44"/>
    </row>
    <row r="966" ht="15.75" customHeight="1">
      <c r="A966" s="48"/>
      <c r="B966" s="44"/>
      <c r="C966" s="31" t="str">
        <f t="array" ref="C966">IF(B966="","",IFERROR(INDEX(Listas!$Q$5:$Q$20,MATCH(B966,Listas!$P$5:$P$20,0)),""))</f>
        <v/>
      </c>
      <c r="D966" s="44"/>
      <c r="E966" s="44"/>
      <c r="F966" s="44"/>
      <c r="G966" s="44"/>
      <c r="H966" s="44"/>
      <c r="I966" s="49"/>
      <c r="J966" s="47"/>
      <c r="K966" s="50"/>
      <c r="L966" s="43" t="str">
        <f t="shared" si="1"/>
        <v/>
      </c>
      <c r="M966" s="44"/>
    </row>
    <row r="967" ht="15.75" customHeight="1">
      <c r="A967" s="48"/>
      <c r="B967" s="44"/>
      <c r="C967" s="31" t="str">
        <f t="array" ref="C967">IF(B967="","",IFERROR(INDEX(Listas!$Q$5:$Q$20,MATCH(B967,Listas!$P$5:$P$20,0)),""))</f>
        <v/>
      </c>
      <c r="D967" s="44"/>
      <c r="E967" s="44"/>
      <c r="F967" s="44"/>
      <c r="G967" s="44"/>
      <c r="H967" s="44"/>
      <c r="I967" s="49"/>
      <c r="J967" s="47"/>
      <c r="K967" s="50"/>
      <c r="L967" s="43" t="str">
        <f t="shared" si="1"/>
        <v/>
      </c>
      <c r="M967" s="44"/>
    </row>
    <row r="968" ht="15.75" customHeight="1">
      <c r="A968" s="48"/>
      <c r="B968" s="44"/>
      <c r="C968" s="31" t="str">
        <f t="array" ref="C968">IF(B968="","",IFERROR(INDEX(Listas!$Q$5:$Q$20,MATCH(B968,Listas!$P$5:$P$20,0)),""))</f>
        <v/>
      </c>
      <c r="D968" s="44"/>
      <c r="E968" s="44"/>
      <c r="F968" s="44"/>
      <c r="G968" s="44"/>
      <c r="H968" s="44"/>
      <c r="I968" s="49"/>
      <c r="J968" s="47"/>
      <c r="K968" s="50"/>
      <c r="L968" s="43" t="str">
        <f t="shared" si="1"/>
        <v/>
      </c>
      <c r="M968" s="44"/>
    </row>
    <row r="969" ht="15.75" customHeight="1">
      <c r="A969" s="48"/>
      <c r="B969" s="44"/>
      <c r="C969" s="31" t="str">
        <f t="array" ref="C969">IF(B969="","",IFERROR(INDEX(Listas!$Q$5:$Q$20,MATCH(B969,Listas!$P$5:$P$20,0)),""))</f>
        <v/>
      </c>
      <c r="D969" s="44"/>
      <c r="E969" s="44"/>
      <c r="F969" s="44"/>
      <c r="G969" s="44"/>
      <c r="H969" s="44"/>
      <c r="I969" s="49"/>
      <c r="J969" s="47"/>
      <c r="K969" s="50"/>
      <c r="L969" s="43" t="str">
        <f t="shared" si="1"/>
        <v/>
      </c>
      <c r="M969" s="44"/>
    </row>
    <row r="970" ht="15.75" customHeight="1">
      <c r="A970" s="48"/>
      <c r="B970" s="44"/>
      <c r="C970" s="31" t="str">
        <f t="array" ref="C970">IF(B970="","",IFERROR(INDEX(Listas!$Q$5:$Q$20,MATCH(B970,Listas!$P$5:$P$20,0)),""))</f>
        <v/>
      </c>
      <c r="D970" s="44"/>
      <c r="E970" s="44"/>
      <c r="F970" s="44"/>
      <c r="G970" s="44"/>
      <c r="H970" s="44"/>
      <c r="I970" s="49"/>
      <c r="J970" s="47"/>
      <c r="K970" s="50"/>
      <c r="L970" s="43" t="str">
        <f t="shared" si="1"/>
        <v/>
      </c>
      <c r="M970" s="44"/>
    </row>
    <row r="971" ht="15.75" customHeight="1">
      <c r="A971" s="48"/>
      <c r="B971" s="44"/>
      <c r="C971" s="31" t="str">
        <f t="array" ref="C971">IF(B971="","",IFERROR(INDEX(Listas!$Q$5:$Q$20,MATCH(B971,Listas!$P$5:$P$20,0)),""))</f>
        <v/>
      </c>
      <c r="D971" s="44"/>
      <c r="E971" s="44"/>
      <c r="F971" s="44"/>
      <c r="G971" s="44"/>
      <c r="H971" s="44"/>
      <c r="I971" s="49"/>
      <c r="J971" s="47"/>
      <c r="K971" s="50"/>
      <c r="L971" s="43" t="str">
        <f t="shared" si="1"/>
        <v/>
      </c>
      <c r="M971" s="44"/>
    </row>
    <row r="972" ht="15.75" customHeight="1">
      <c r="A972" s="48"/>
      <c r="B972" s="44"/>
      <c r="C972" s="31" t="str">
        <f t="array" ref="C972">IF(B972="","",IFERROR(INDEX(Listas!$Q$5:$Q$20,MATCH(B972,Listas!$P$5:$P$20,0)),""))</f>
        <v/>
      </c>
      <c r="D972" s="44"/>
      <c r="E972" s="44"/>
      <c r="F972" s="44"/>
      <c r="G972" s="44"/>
      <c r="H972" s="44"/>
      <c r="I972" s="49"/>
      <c r="J972" s="47"/>
      <c r="K972" s="50"/>
      <c r="L972" s="43" t="str">
        <f t="shared" si="1"/>
        <v/>
      </c>
      <c r="M972" s="44"/>
    </row>
    <row r="973" ht="15.75" customHeight="1">
      <c r="A973" s="48"/>
      <c r="B973" s="44"/>
      <c r="C973" s="31" t="str">
        <f t="array" ref="C973">IF(B973="","",IFERROR(INDEX(Listas!$Q$5:$Q$20,MATCH(B973,Listas!$P$5:$P$20,0)),""))</f>
        <v/>
      </c>
      <c r="D973" s="44"/>
      <c r="E973" s="44"/>
      <c r="F973" s="44"/>
      <c r="G973" s="44"/>
      <c r="H973" s="44"/>
      <c r="I973" s="49"/>
      <c r="J973" s="47"/>
      <c r="K973" s="50"/>
      <c r="L973" s="43" t="str">
        <f t="shared" si="1"/>
        <v/>
      </c>
      <c r="M973" s="44"/>
    </row>
    <row r="974" ht="15.75" customHeight="1">
      <c r="A974" s="48"/>
      <c r="B974" s="44"/>
      <c r="C974" s="31" t="str">
        <f t="array" ref="C974">IF(B974="","",IFERROR(INDEX(Listas!$Q$5:$Q$20,MATCH(B974,Listas!$P$5:$P$20,0)),""))</f>
        <v/>
      </c>
      <c r="D974" s="44"/>
      <c r="E974" s="44"/>
      <c r="F974" s="44"/>
      <c r="G974" s="44"/>
      <c r="H974" s="44"/>
      <c r="I974" s="49"/>
      <c r="J974" s="47"/>
      <c r="K974" s="50"/>
      <c r="L974" s="43" t="str">
        <f t="shared" si="1"/>
        <v/>
      </c>
      <c r="M974" s="44"/>
    </row>
    <row r="975" ht="15.75" customHeight="1">
      <c r="A975" s="48"/>
      <c r="B975" s="44"/>
      <c r="C975" s="31" t="str">
        <f t="array" ref="C975">IF(B975="","",IFERROR(INDEX(Listas!$Q$5:$Q$20,MATCH(B975,Listas!$P$5:$P$20,0)),""))</f>
        <v/>
      </c>
      <c r="D975" s="44"/>
      <c r="E975" s="44"/>
      <c r="F975" s="44"/>
      <c r="G975" s="44"/>
      <c r="H975" s="44"/>
      <c r="I975" s="49"/>
      <c r="J975" s="47"/>
      <c r="K975" s="50"/>
      <c r="L975" s="43" t="str">
        <f t="shared" si="1"/>
        <v/>
      </c>
      <c r="M975" s="44"/>
    </row>
    <row r="976" ht="15.75" customHeight="1">
      <c r="A976" s="48"/>
      <c r="B976" s="44"/>
      <c r="C976" s="31" t="str">
        <f t="array" ref="C976">IF(B976="","",IFERROR(INDEX(Listas!$Q$5:$Q$20,MATCH(B976,Listas!$P$5:$P$20,0)),""))</f>
        <v/>
      </c>
      <c r="D976" s="44"/>
      <c r="E976" s="44"/>
      <c r="F976" s="44"/>
      <c r="G976" s="44"/>
      <c r="H976" s="44"/>
      <c r="I976" s="49"/>
      <c r="J976" s="47"/>
      <c r="K976" s="50"/>
      <c r="L976" s="43" t="str">
        <f t="shared" si="1"/>
        <v/>
      </c>
      <c r="M976" s="44"/>
    </row>
    <row r="977" ht="15.75" customHeight="1">
      <c r="A977" s="48"/>
      <c r="B977" s="44"/>
      <c r="C977" s="31" t="str">
        <f t="array" ref="C977">IF(B977="","",IFERROR(INDEX(Listas!$Q$5:$Q$20,MATCH(B977,Listas!$P$5:$P$20,0)),""))</f>
        <v/>
      </c>
      <c r="D977" s="44"/>
      <c r="E977" s="44"/>
      <c r="F977" s="44"/>
      <c r="G977" s="44"/>
      <c r="H977" s="44"/>
      <c r="I977" s="49"/>
      <c r="J977" s="47"/>
      <c r="K977" s="50"/>
      <c r="L977" s="43" t="str">
        <f t="shared" si="1"/>
        <v/>
      </c>
      <c r="M977" s="44"/>
    </row>
    <row r="978" ht="15.75" customHeight="1">
      <c r="A978" s="48"/>
      <c r="B978" s="44"/>
      <c r="C978" s="31" t="str">
        <f t="array" ref="C978">IF(B978="","",IFERROR(INDEX(Listas!$Q$5:$Q$20,MATCH(B978,Listas!$P$5:$P$20,0)),""))</f>
        <v/>
      </c>
      <c r="D978" s="44"/>
      <c r="E978" s="44"/>
      <c r="F978" s="44"/>
      <c r="G978" s="44"/>
      <c r="H978" s="44"/>
      <c r="I978" s="49"/>
      <c r="J978" s="47"/>
      <c r="K978" s="50"/>
      <c r="L978" s="43" t="str">
        <f t="shared" si="1"/>
        <v/>
      </c>
      <c r="M978" s="44"/>
    </row>
    <row r="979" ht="15.75" customHeight="1">
      <c r="A979" s="48"/>
      <c r="B979" s="44"/>
      <c r="C979" s="31" t="str">
        <f t="array" ref="C979">IF(B979="","",IFERROR(INDEX(Listas!$Q$5:$Q$20,MATCH(B979,Listas!$P$5:$P$20,0)),""))</f>
        <v/>
      </c>
      <c r="D979" s="44"/>
      <c r="E979" s="44"/>
      <c r="F979" s="44"/>
      <c r="G979" s="44"/>
      <c r="H979" s="44"/>
      <c r="I979" s="49"/>
      <c r="J979" s="47"/>
      <c r="K979" s="50"/>
      <c r="L979" s="43" t="str">
        <f t="shared" si="1"/>
        <v/>
      </c>
      <c r="M979" s="44"/>
    </row>
    <row r="980" ht="15.75" customHeight="1">
      <c r="A980" s="48"/>
      <c r="B980" s="44"/>
      <c r="C980" s="31" t="str">
        <f t="array" ref="C980">IF(B980="","",IFERROR(INDEX(Listas!$Q$5:$Q$20,MATCH(B980,Listas!$P$5:$P$20,0)),""))</f>
        <v/>
      </c>
      <c r="D980" s="44"/>
      <c r="E980" s="44"/>
      <c r="F980" s="44"/>
      <c r="G980" s="44"/>
      <c r="H980" s="44"/>
      <c r="I980" s="49"/>
      <c r="J980" s="47"/>
      <c r="K980" s="50"/>
      <c r="L980" s="43" t="str">
        <f t="shared" si="1"/>
        <v/>
      </c>
      <c r="M980" s="44"/>
    </row>
    <row r="981" ht="15.75" customHeight="1">
      <c r="A981" s="48"/>
      <c r="B981" s="44"/>
      <c r="C981" s="31" t="str">
        <f t="array" ref="C981">IF(B981="","",IFERROR(INDEX(Listas!$Q$5:$Q$20,MATCH(B981,Listas!$P$5:$P$20,0)),""))</f>
        <v/>
      </c>
      <c r="D981" s="44"/>
      <c r="E981" s="44"/>
      <c r="F981" s="44"/>
      <c r="G981" s="44"/>
      <c r="H981" s="44"/>
      <c r="I981" s="49"/>
      <c r="J981" s="47"/>
      <c r="K981" s="50"/>
      <c r="L981" s="43" t="str">
        <f t="shared" si="1"/>
        <v/>
      </c>
      <c r="M981" s="44"/>
    </row>
    <row r="982" ht="15.75" customHeight="1">
      <c r="A982" s="48"/>
      <c r="B982" s="44"/>
      <c r="C982" s="31" t="str">
        <f t="array" ref="C982">IF(B982="","",IFERROR(INDEX(Listas!$Q$5:$Q$20,MATCH(B982,Listas!$P$5:$P$20,0)),""))</f>
        <v/>
      </c>
      <c r="D982" s="44"/>
      <c r="E982" s="44"/>
      <c r="F982" s="44"/>
      <c r="G982" s="44"/>
      <c r="H982" s="44"/>
      <c r="I982" s="49"/>
      <c r="J982" s="47"/>
      <c r="K982" s="50"/>
      <c r="L982" s="43" t="str">
        <f t="shared" si="1"/>
        <v/>
      </c>
      <c r="M982" s="44"/>
    </row>
    <row r="983" ht="15.75" customHeight="1">
      <c r="A983" s="48"/>
      <c r="B983" s="44"/>
      <c r="C983" s="31" t="str">
        <f t="array" ref="C983">IF(B983="","",IFERROR(INDEX(Listas!$Q$5:$Q$20,MATCH(B983,Listas!$P$5:$P$20,0)),""))</f>
        <v/>
      </c>
      <c r="D983" s="44"/>
      <c r="E983" s="44"/>
      <c r="F983" s="44"/>
      <c r="G983" s="44"/>
      <c r="H983" s="44"/>
      <c r="I983" s="49"/>
      <c r="J983" s="47"/>
      <c r="K983" s="50"/>
      <c r="L983" s="43" t="str">
        <f t="shared" si="1"/>
        <v/>
      </c>
      <c r="M983" s="44"/>
    </row>
    <row r="984" ht="15.75" customHeight="1">
      <c r="A984" s="48"/>
      <c r="B984" s="44"/>
      <c r="C984" s="31" t="str">
        <f t="array" ref="C984">IF(B984="","",IFERROR(INDEX(Listas!$Q$5:$Q$20,MATCH(B984,Listas!$P$5:$P$20,0)),""))</f>
        <v/>
      </c>
      <c r="D984" s="44"/>
      <c r="E984" s="44"/>
      <c r="F984" s="44"/>
      <c r="G984" s="44"/>
      <c r="H984" s="44"/>
      <c r="I984" s="49"/>
      <c r="J984" s="47"/>
      <c r="K984" s="50"/>
      <c r="L984" s="43" t="str">
        <f t="shared" si="1"/>
        <v/>
      </c>
      <c r="M984" s="44"/>
    </row>
    <row r="985" ht="15.75" customHeight="1">
      <c r="A985" s="48"/>
      <c r="B985" s="44"/>
      <c r="C985" s="31" t="str">
        <f t="array" ref="C985">IF(B985="","",IFERROR(INDEX(Listas!$Q$5:$Q$20,MATCH(B985,Listas!$P$5:$P$20,0)),""))</f>
        <v/>
      </c>
      <c r="D985" s="44"/>
      <c r="E985" s="44"/>
      <c r="F985" s="44"/>
      <c r="G985" s="44"/>
      <c r="H985" s="44"/>
      <c r="I985" s="49"/>
      <c r="J985" s="47"/>
      <c r="K985" s="50"/>
      <c r="L985" s="43" t="str">
        <f t="shared" si="1"/>
        <v/>
      </c>
      <c r="M985" s="44"/>
    </row>
    <row r="986" ht="15.75" customHeight="1">
      <c r="A986" s="48"/>
      <c r="B986" s="44"/>
      <c r="C986" s="31" t="str">
        <f t="array" ref="C986">IF(B986="","",IFERROR(INDEX(Listas!$Q$5:$Q$20,MATCH(B986,Listas!$P$5:$P$20,0)),""))</f>
        <v/>
      </c>
      <c r="D986" s="44"/>
      <c r="E986" s="44"/>
      <c r="F986" s="44"/>
      <c r="G986" s="44"/>
      <c r="H986" s="44"/>
      <c r="I986" s="49"/>
      <c r="J986" s="47"/>
      <c r="K986" s="50"/>
      <c r="L986" s="43" t="str">
        <f t="shared" si="1"/>
        <v/>
      </c>
      <c r="M986" s="44"/>
    </row>
    <row r="987" ht="15.75" customHeight="1">
      <c r="A987" s="48"/>
      <c r="B987" s="44"/>
      <c r="C987" s="31" t="str">
        <f t="array" ref="C987">IF(B987="","",IFERROR(INDEX(Listas!$Q$5:$Q$20,MATCH(B987,Listas!$P$5:$P$20,0)),""))</f>
        <v/>
      </c>
      <c r="D987" s="44"/>
      <c r="E987" s="44"/>
      <c r="F987" s="44"/>
      <c r="G987" s="44"/>
      <c r="H987" s="44"/>
      <c r="I987" s="49"/>
      <c r="J987" s="47"/>
      <c r="K987" s="50"/>
      <c r="L987" s="43" t="str">
        <f t="shared" si="1"/>
        <v/>
      </c>
      <c r="M987" s="44"/>
    </row>
    <row r="988" ht="15.75" customHeight="1">
      <c r="A988" s="48"/>
      <c r="B988" s="44"/>
      <c r="C988" s="31" t="str">
        <f t="array" ref="C988">IF(B988="","",IFERROR(INDEX(Listas!$Q$5:$Q$20,MATCH(B988,Listas!$P$5:$P$20,0)),""))</f>
        <v/>
      </c>
      <c r="D988" s="44"/>
      <c r="E988" s="44"/>
      <c r="F988" s="44"/>
      <c r="G988" s="44"/>
      <c r="H988" s="44"/>
      <c r="I988" s="49"/>
      <c r="J988" s="47"/>
      <c r="K988" s="50"/>
      <c r="L988" s="43" t="str">
        <f t="shared" si="1"/>
        <v/>
      </c>
      <c r="M988" s="44"/>
    </row>
    <row r="989" ht="15.75" customHeight="1">
      <c r="A989" s="48"/>
      <c r="B989" s="44"/>
      <c r="C989" s="31" t="str">
        <f t="array" ref="C989">IF(B989="","",IFERROR(INDEX(Listas!$Q$5:$Q$20,MATCH(B989,Listas!$P$5:$P$20,0)),""))</f>
        <v/>
      </c>
      <c r="D989" s="44"/>
      <c r="E989" s="44"/>
      <c r="F989" s="44"/>
      <c r="G989" s="44"/>
      <c r="H989" s="44"/>
      <c r="I989" s="49"/>
      <c r="J989" s="47"/>
      <c r="K989" s="50"/>
      <c r="L989" s="43" t="str">
        <f t="shared" si="1"/>
        <v/>
      </c>
      <c r="M989" s="44"/>
    </row>
    <row r="990" ht="15.75" customHeight="1">
      <c r="A990" s="48"/>
      <c r="B990" s="44"/>
      <c r="C990" s="31" t="str">
        <f t="array" ref="C990">IF(B990="","",IFERROR(INDEX(Listas!$Q$5:$Q$20,MATCH(B990,Listas!$P$5:$P$20,0)),""))</f>
        <v/>
      </c>
      <c r="D990" s="44"/>
      <c r="E990" s="44"/>
      <c r="F990" s="44"/>
      <c r="G990" s="44"/>
      <c r="H990" s="44"/>
      <c r="I990" s="49"/>
      <c r="J990" s="47"/>
      <c r="K990" s="50"/>
      <c r="L990" s="43" t="str">
        <f t="shared" si="1"/>
        <v/>
      </c>
      <c r="M990" s="44"/>
    </row>
    <row r="991" ht="15.75" customHeight="1">
      <c r="A991" s="48"/>
      <c r="B991" s="44"/>
      <c r="C991" s="31" t="str">
        <f t="array" ref="C991">IF(B991="","",IFERROR(INDEX(Listas!$Q$5:$Q$20,MATCH(B991,Listas!$P$5:$P$20,0)),""))</f>
        <v/>
      </c>
      <c r="D991" s="44"/>
      <c r="E991" s="44"/>
      <c r="F991" s="44"/>
      <c r="G991" s="44"/>
      <c r="H991" s="44"/>
      <c r="I991" s="49"/>
      <c r="J991" s="47"/>
      <c r="K991" s="50"/>
      <c r="L991" s="43" t="str">
        <f t="shared" si="1"/>
        <v/>
      </c>
      <c r="M991" s="44"/>
    </row>
    <row r="992" ht="15.75" customHeight="1">
      <c r="A992" s="48"/>
      <c r="B992" s="44"/>
      <c r="C992" s="31" t="str">
        <f t="array" ref="C992">IF(B992="","",IFERROR(INDEX(Listas!$Q$5:$Q$20,MATCH(B992,Listas!$P$5:$P$20,0)),""))</f>
        <v/>
      </c>
      <c r="D992" s="44"/>
      <c r="E992" s="44"/>
      <c r="F992" s="44"/>
      <c r="G992" s="44"/>
      <c r="H992" s="44"/>
      <c r="I992" s="49"/>
      <c r="J992" s="47"/>
      <c r="K992" s="50"/>
      <c r="L992" s="43" t="str">
        <f t="shared" si="1"/>
        <v/>
      </c>
      <c r="M992" s="44"/>
    </row>
    <row r="993" ht="15.75" customHeight="1">
      <c r="A993" s="48"/>
      <c r="B993" s="44"/>
      <c r="C993" s="31" t="str">
        <f t="array" ref="C993">IF(B993="","",IFERROR(INDEX(Listas!$Q$5:$Q$20,MATCH(B993,Listas!$P$5:$P$20,0)),""))</f>
        <v/>
      </c>
      <c r="D993" s="44"/>
      <c r="E993" s="44"/>
      <c r="F993" s="44"/>
      <c r="G993" s="44"/>
      <c r="H993" s="44"/>
      <c r="I993" s="49"/>
      <c r="J993" s="47"/>
      <c r="K993" s="50"/>
      <c r="L993" s="43" t="str">
        <f t="shared" si="1"/>
        <v/>
      </c>
      <c r="M993" s="44"/>
    </row>
    <row r="994" ht="15.75" customHeight="1">
      <c r="A994" s="48"/>
      <c r="B994" s="44"/>
      <c r="C994" s="31" t="str">
        <f t="array" ref="C994">IF(B994="","",IFERROR(INDEX(Listas!$Q$5:$Q$20,MATCH(B994,Listas!$P$5:$P$20,0)),""))</f>
        <v/>
      </c>
      <c r="D994" s="44"/>
      <c r="E994" s="44"/>
      <c r="F994" s="44"/>
      <c r="G994" s="44"/>
      <c r="H994" s="44"/>
      <c r="I994" s="49"/>
      <c r="J994" s="47"/>
      <c r="K994" s="50"/>
      <c r="L994" s="43" t="str">
        <f t="shared" si="1"/>
        <v/>
      </c>
      <c r="M994" s="44"/>
    </row>
    <row r="995" ht="15.75" customHeight="1">
      <c r="A995" s="48"/>
      <c r="B995" s="44"/>
      <c r="C995" s="31" t="str">
        <f t="array" ref="C995">IF(B995="","",IFERROR(INDEX(Listas!$Q$5:$Q$20,MATCH(B995,Listas!$P$5:$P$20,0)),""))</f>
        <v/>
      </c>
      <c r="D995" s="44"/>
      <c r="E995" s="44"/>
      <c r="F995" s="44"/>
      <c r="G995" s="44"/>
      <c r="H995" s="44"/>
      <c r="I995" s="49"/>
      <c r="J995" s="47"/>
      <c r="K995" s="50"/>
      <c r="L995" s="43" t="str">
        <f t="shared" si="1"/>
        <v/>
      </c>
      <c r="M995" s="44"/>
    </row>
    <row r="996" ht="15.75" customHeight="1">
      <c r="A996" s="48"/>
      <c r="B996" s="44"/>
      <c r="C996" s="31" t="str">
        <f t="array" ref="C996">IF(B996="","",IFERROR(INDEX(Listas!$Q$5:$Q$20,MATCH(B996,Listas!$P$5:$P$20,0)),""))</f>
        <v/>
      </c>
      <c r="D996" s="44"/>
      <c r="E996" s="44"/>
      <c r="F996" s="44"/>
      <c r="G996" s="44"/>
      <c r="H996" s="44"/>
      <c r="I996" s="49"/>
      <c r="J996" s="47"/>
      <c r="K996" s="50"/>
      <c r="L996" s="43" t="str">
        <f t="shared" si="1"/>
        <v/>
      </c>
      <c r="M996" s="44"/>
    </row>
    <row r="997" ht="15.75" customHeight="1">
      <c r="A997" s="48"/>
      <c r="B997" s="44"/>
      <c r="C997" s="31" t="str">
        <f t="array" ref="C997">IF(B997="","",IFERROR(INDEX(Listas!$Q$5:$Q$20,MATCH(B997,Listas!$P$5:$P$20,0)),""))</f>
        <v/>
      </c>
      <c r="D997" s="44"/>
      <c r="E997" s="44"/>
      <c r="F997" s="44"/>
      <c r="G997" s="44"/>
      <c r="H997" s="44"/>
      <c r="I997" s="49"/>
      <c r="J997" s="47"/>
      <c r="K997" s="50"/>
      <c r="L997" s="43" t="str">
        <f t="shared" si="1"/>
        <v/>
      </c>
      <c r="M997" s="44"/>
    </row>
    <row r="998" ht="15.75" customHeight="1">
      <c r="A998" s="48"/>
      <c r="B998" s="44"/>
      <c r="C998" s="31" t="str">
        <f t="array" ref="C998">IF(B998="","",IFERROR(INDEX(Listas!$Q$5:$Q$20,MATCH(B998,Listas!$P$5:$P$20,0)),""))</f>
        <v/>
      </c>
      <c r="D998" s="44"/>
      <c r="E998" s="44"/>
      <c r="F998" s="44"/>
      <c r="G998" s="44"/>
      <c r="H998" s="44"/>
      <c r="I998" s="49"/>
      <c r="J998" s="47"/>
      <c r="K998" s="50"/>
      <c r="L998" s="43" t="str">
        <f t="shared" si="1"/>
        <v/>
      </c>
      <c r="M998" s="44"/>
    </row>
    <row r="999" ht="15.75" customHeight="1">
      <c r="A999" s="48"/>
      <c r="B999" s="44"/>
      <c r="C999" s="31" t="str">
        <f t="array" ref="C999">IF(B999="","",IFERROR(INDEX(Listas!$Q$5:$Q$20,MATCH(B999,Listas!$P$5:$P$20,0)),""))</f>
        <v/>
      </c>
      <c r="D999" s="44"/>
      <c r="E999" s="44"/>
      <c r="F999" s="44"/>
      <c r="G999" s="44"/>
      <c r="H999" s="44"/>
      <c r="I999" s="49"/>
      <c r="J999" s="47"/>
      <c r="K999" s="50"/>
      <c r="L999" s="43" t="str">
        <f t="shared" si="1"/>
        <v/>
      </c>
      <c r="M999" s="44"/>
    </row>
    <row r="1000" ht="15.75" customHeight="1">
      <c r="A1000" s="48"/>
      <c r="B1000" s="44"/>
      <c r="C1000" s="31" t="str">
        <f t="array" ref="C1000">IF(B1000="","",IFERROR(INDEX(Listas!$Q$5:$Q$20,MATCH(B1000,Listas!$P$5:$P$20,0)),""))</f>
        <v/>
      </c>
      <c r="D1000" s="44"/>
      <c r="E1000" s="44"/>
      <c r="F1000" s="44"/>
      <c r="G1000" s="44"/>
      <c r="H1000" s="44"/>
      <c r="I1000" s="49"/>
      <c r="J1000" s="47"/>
      <c r="K1000" s="50"/>
      <c r="L1000" s="43" t="str">
        <f t="shared" si="1"/>
        <v/>
      </c>
      <c r="M1000" s="44"/>
    </row>
    <row r="1001" ht="15.75" customHeight="1">
      <c r="A1001" s="48"/>
      <c r="B1001" s="44"/>
      <c r="C1001" s="31" t="str">
        <f t="array" ref="C1001">IF(B1001="","",IFERROR(INDEX(Listas!$Q$5:$Q$20,MATCH(B1001,Listas!$P$5:$P$20,0)),""))</f>
        <v/>
      </c>
      <c r="D1001" s="44"/>
      <c r="E1001" s="44"/>
      <c r="F1001" s="44"/>
      <c r="G1001" s="44"/>
      <c r="H1001" s="44"/>
      <c r="I1001" s="49"/>
      <c r="J1001" s="47"/>
      <c r="K1001" s="50"/>
      <c r="L1001" s="43" t="str">
        <f t="shared" si="1"/>
        <v/>
      </c>
      <c r="M1001" s="44"/>
    </row>
    <row r="1002" ht="15.75" customHeight="1">
      <c r="A1002" s="48"/>
      <c r="B1002" s="44"/>
      <c r="C1002" s="31" t="str">
        <f t="array" ref="C1002">IF(B1002="","",IFERROR(INDEX(Listas!$Q$5:$Q$20,MATCH(B1002,Listas!$P$5:$P$20,0)),""))</f>
        <v/>
      </c>
      <c r="D1002" s="44"/>
      <c r="E1002" s="44"/>
      <c r="F1002" s="44"/>
      <c r="G1002" s="44"/>
      <c r="H1002" s="44"/>
      <c r="I1002" s="49"/>
      <c r="J1002" s="47"/>
      <c r="K1002" s="50"/>
      <c r="L1002" s="43" t="str">
        <f t="shared" si="1"/>
        <v/>
      </c>
      <c r="M1002" s="44"/>
    </row>
    <row r="1003" ht="15.75" customHeight="1">
      <c r="A1003" s="48"/>
      <c r="B1003" s="44"/>
      <c r="C1003" s="31" t="str">
        <f t="array" ref="C1003">IF(B1003="","",IFERROR(INDEX(Listas!$Q$5:$Q$20,MATCH(B1003,Listas!$P$5:$P$20,0)),""))</f>
        <v/>
      </c>
      <c r="D1003" s="44"/>
      <c r="E1003" s="44"/>
      <c r="F1003" s="44"/>
      <c r="G1003" s="44"/>
      <c r="H1003" s="44"/>
      <c r="I1003" s="49"/>
      <c r="J1003" s="47"/>
      <c r="K1003" s="50"/>
      <c r="L1003" s="43" t="str">
        <f t="shared" si="1"/>
        <v/>
      </c>
      <c r="M1003" s="44"/>
    </row>
    <row r="1004" ht="15.75" customHeight="1">
      <c r="A1004" s="48"/>
      <c r="B1004" s="44"/>
      <c r="C1004" s="31" t="str">
        <f t="array" ref="C1004">IF(B1004="","",IFERROR(INDEX(Listas!$Q$5:$Q$20,MATCH(B1004,Listas!$P$5:$P$20,0)),""))</f>
        <v/>
      </c>
      <c r="D1004" s="44"/>
      <c r="E1004" s="44"/>
      <c r="F1004" s="44"/>
      <c r="G1004" s="44"/>
      <c r="H1004" s="44"/>
      <c r="I1004" s="49"/>
      <c r="J1004" s="47"/>
      <c r="K1004" s="50"/>
      <c r="L1004" s="43" t="str">
        <f t="shared" si="1"/>
        <v/>
      </c>
      <c r="M1004" s="44"/>
    </row>
    <row r="1005" ht="15.75" customHeight="1">
      <c r="A1005" s="48"/>
      <c r="B1005" s="44"/>
      <c r="C1005" s="31" t="str">
        <f t="array" ref="C1005">IF(B1005="","",IFERROR(INDEX(Listas!$Q$5:$Q$20,MATCH(B1005,Listas!$P$5:$P$20,0)),""))</f>
        <v/>
      </c>
      <c r="D1005" s="44"/>
      <c r="E1005" s="44"/>
      <c r="F1005" s="44"/>
      <c r="G1005" s="44"/>
      <c r="H1005" s="44"/>
      <c r="I1005" s="49"/>
      <c r="J1005" s="47"/>
      <c r="K1005" s="50"/>
      <c r="L1005" s="43" t="str">
        <f t="shared" si="1"/>
        <v/>
      </c>
      <c r="M1005" s="44"/>
    </row>
  </sheetData>
  <conditionalFormatting sqref="C6:C1005">
    <cfRule type="expression" dxfId="3" priority="1">
      <formula>$C6="Entrada"</formula>
    </cfRule>
  </conditionalFormatting>
  <conditionalFormatting sqref="C6:C1005">
    <cfRule type="expression" dxfId="1" priority="2">
      <formula>$C6="Salida"</formula>
    </cfRule>
  </conditionalFormatting>
  <conditionalFormatting sqref="K6:K1005">
    <cfRule type="expression" dxfId="4" priority="3">
      <formula>AND($I6="CRC",$J6&lt;&gt;"",$K6="")</formula>
    </cfRule>
  </conditionalFormatting>
  <dataValidations>
    <dataValidation type="decimal" operator="greaterThan" allowBlank="1" showInputMessage="1" showErrorMessage="1" prompt="Monto - Escriba el monto en positivo; la dirección (entrada o salida) la da el tipo de movimiento." sqref="J6:J1005">
      <formula1>0.0</formula1>
    </dataValidation>
    <dataValidation type="list" allowBlank="1" sqref="B6:B1005">
      <formula1>Listas!$P$5:$P$20</formula1>
    </dataValidation>
    <dataValidation type="list" allowBlank="1" sqref="F6:F1005">
      <formula1>Listas!$E$5:$E$20</formula1>
    </dataValidation>
    <dataValidation type="list" allowBlank="1" sqref="E6:E1005">
      <formula1>Listas!$U$5:$U$26</formula1>
    </dataValidation>
    <dataValidation type="date" operator="greaterThanOrEqual" allowBlank="1" showInputMessage="1" showErrorMessage="1" prompt="Fecha - La fecha debe ser desde el 05/10/2026." sqref="A6:A1005">
      <formula1>46300.0</formula1>
    </dataValidation>
    <dataValidation type="list" allowBlank="1" sqref="I6:I1005">
      <formula1>Listas!$S$5:$S$6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9" width="16.0"/>
    <col customWidth="1" min="10" max="10" width="20.0"/>
    <col customWidth="1" min="11" max="26" width="8.71"/>
  </cols>
  <sheetData>
    <row r="1">
      <c r="A1" s="1" t="s">
        <v>278</v>
      </c>
    </row>
    <row r="2">
      <c r="A2" s="5" t="s">
        <v>279</v>
      </c>
    </row>
    <row r="4">
      <c r="A4" s="78" t="s">
        <v>280</v>
      </c>
      <c r="B4" s="79"/>
      <c r="C4" s="79"/>
      <c r="D4" s="79"/>
      <c r="E4" s="79"/>
      <c r="F4" s="79"/>
      <c r="G4" s="79"/>
      <c r="H4" s="79"/>
      <c r="I4" s="79"/>
      <c r="J4" s="79"/>
    </row>
    <row r="5" ht="30.0" customHeight="1">
      <c r="A5" s="18" t="s">
        <v>281</v>
      </c>
      <c r="B5" s="18" t="s">
        <v>33</v>
      </c>
      <c r="C5" s="18" t="s">
        <v>42</v>
      </c>
    </row>
    <row r="6">
      <c r="A6" s="19" t="s">
        <v>282</v>
      </c>
      <c r="B6" s="80">
        <f>Listas!$L$5</f>
        <v>46300</v>
      </c>
      <c r="C6" s="81">
        <v>0.0</v>
      </c>
      <c r="D6" s="82" t="s">
        <v>283</v>
      </c>
    </row>
    <row r="7">
      <c r="A7" s="19" t="s">
        <v>284</v>
      </c>
      <c r="B7" s="80">
        <f>Listas!$L$5</f>
        <v>46300</v>
      </c>
      <c r="C7" s="83">
        <v>0.0</v>
      </c>
    </row>
    <row r="9">
      <c r="A9" s="19" t="s">
        <v>285</v>
      </c>
      <c r="C9" s="84"/>
      <c r="D9" s="82" t="s">
        <v>286</v>
      </c>
    </row>
    <row r="11" ht="30.0" customHeight="1">
      <c r="A11" s="18" t="s">
        <v>287</v>
      </c>
      <c r="B11" s="18"/>
      <c r="C11" s="18"/>
      <c r="D11" s="18" t="s">
        <v>288</v>
      </c>
      <c r="E11" s="18" t="s">
        <v>289</v>
      </c>
      <c r="F11" s="18" t="s">
        <v>290</v>
      </c>
    </row>
    <row r="12">
      <c r="A12" s="16" t="s">
        <v>291</v>
      </c>
      <c r="D12" s="85">
        <f>C6+SUMIFS('Caja Efectivo'!$J$6:$J$1005,'Caja Efectivo'!$I$6:$I$1005,"USD",'Caja Efectivo'!$C$6:$C$1005,"Entrada")-SUMIFS('Caja Efectivo'!$J$6:$J$1005,'Caja Efectivo'!$I$6:$I$1005,"USD",'Caja Efectivo'!$C$6:$C$1005,"Salida")</f>
        <v>654.7864924</v>
      </c>
      <c r="E12" s="86">
        <f>C7+SUMIFS('Caja Efectivo'!$J$6:$J$1005,'Caja Efectivo'!$I$6:$I$1005,"CRC",'Caja Efectivo'!$C$6:$C$1005,"Entrada")-SUMIFS('Caja Efectivo'!$J$6:$J$1005,'Caja Efectivo'!$I$6:$I$1005,"CRC",'Caja Efectivo'!$C$6:$C$1005,"Salida")</f>
        <v>0</v>
      </c>
      <c r="F12" s="85">
        <f>IF(N(C9)=0,D12,D12+E12/C9)</f>
        <v>654.7864924</v>
      </c>
    </row>
    <row r="13">
      <c r="A13" s="82" t="s">
        <v>292</v>
      </c>
    </row>
    <row r="15">
      <c r="A15" s="78" t="s">
        <v>293</v>
      </c>
      <c r="B15" s="79"/>
      <c r="C15" s="79"/>
      <c r="D15" s="79"/>
      <c r="E15" s="79"/>
      <c r="F15" s="79"/>
      <c r="G15" s="79"/>
      <c r="H15" s="79"/>
      <c r="I15" s="79"/>
      <c r="J15" s="79"/>
    </row>
    <row r="16" ht="30.0" customHeight="1">
      <c r="A16" s="18" t="s">
        <v>294</v>
      </c>
      <c r="B16" s="18" t="str">
        <f>Listas!$K$5</f>
        <v>Octubre 2026</v>
      </c>
      <c r="C16" s="18" t="str">
        <f>Listas!$K$6</f>
        <v>Noviembre 2026</v>
      </c>
      <c r="D16" s="18" t="str">
        <f>Listas!$K$7</f>
        <v>Diciembre 2026</v>
      </c>
      <c r="E16" s="18" t="s">
        <v>295</v>
      </c>
    </row>
    <row r="17">
      <c r="A17" s="16" t="s">
        <v>296</v>
      </c>
      <c r="B17" s="87">
        <f>$C$6</f>
        <v>0</v>
      </c>
      <c r="C17" s="87">
        <f t="shared" ref="C17:D17" si="1">B29</f>
        <v>654.7864924</v>
      </c>
      <c r="D17" s="87">
        <f t="shared" si="1"/>
        <v>654.7864924</v>
      </c>
      <c r="E17" s="85">
        <f>B17</f>
        <v>0</v>
      </c>
    </row>
    <row r="18">
      <c r="A18" s="66" t="s">
        <v>297</v>
      </c>
      <c r="B18" s="88">
        <f>SUMIFS('Caja Efectivo'!$J$6:$J$1005,'Caja Efectivo'!$B$6:$B$1005,"Venta / cobro en efectivo",'Caja Efectivo'!$A$6:$A$1005,"&gt;="&amp;Listas!$L$5,'Caja Efectivo'!$A$6:$A$1005,"&lt;="&amp;Listas!$M$5,'Caja Efectivo'!$I$6:$I$1005,"USD")</f>
        <v>654.7864924</v>
      </c>
      <c r="C18" s="88">
        <f>SUMIFS('Caja Efectivo'!$J$6:$J$1005,'Caja Efectivo'!$B$6:$B$1005,"Venta / cobro en efectivo",'Caja Efectivo'!$A$6:$A$1005,"&gt;="&amp;Listas!$L$6,'Caja Efectivo'!$A$6:$A$1005,"&lt;="&amp;Listas!$M$6,'Caja Efectivo'!$I$6:$I$1005,"USD")</f>
        <v>0</v>
      </c>
      <c r="D18" s="88">
        <f>SUMIFS('Caja Efectivo'!$J$6:$J$1005,'Caja Efectivo'!$B$6:$B$1005,"Venta / cobro en efectivo",'Caja Efectivo'!$A$6:$A$1005,"&gt;="&amp;Listas!$L$7,'Caja Efectivo'!$A$6:$A$1005,"&lt;="&amp;Listas!$M$7,'Caja Efectivo'!$I$6:$I$1005,"USD")</f>
        <v>0</v>
      </c>
      <c r="E18" s="85">
        <f t="shared" ref="E18:E28" si="2">SUM(B18:D18)</f>
        <v>654.7864924</v>
      </c>
    </row>
    <row r="19">
      <c r="A19" s="66" t="s">
        <v>298</v>
      </c>
      <c r="B19" s="88">
        <f>SUMIFS('Caja Efectivo'!$J$6:$J$1005,'Caja Efectivo'!$B$6:$B$1005,"Retiro de banco a caja",'Caja Efectivo'!$A$6:$A$1005,"&gt;="&amp;Listas!$L$5,'Caja Efectivo'!$A$6:$A$1005,"&lt;="&amp;Listas!$M$5,'Caja Efectivo'!$I$6:$I$1005,"USD")</f>
        <v>0</v>
      </c>
      <c r="C19" s="88">
        <f>SUMIFS('Caja Efectivo'!$J$6:$J$1005,'Caja Efectivo'!$B$6:$B$1005,"Retiro de banco a caja",'Caja Efectivo'!$A$6:$A$1005,"&gt;="&amp;Listas!$L$6,'Caja Efectivo'!$A$6:$A$1005,"&lt;="&amp;Listas!$M$6,'Caja Efectivo'!$I$6:$I$1005,"USD")</f>
        <v>0</v>
      </c>
      <c r="D19" s="88">
        <f>SUMIFS('Caja Efectivo'!$J$6:$J$1005,'Caja Efectivo'!$B$6:$B$1005,"Retiro de banco a caja",'Caja Efectivo'!$A$6:$A$1005,"&gt;="&amp;Listas!$L$7,'Caja Efectivo'!$A$6:$A$1005,"&lt;="&amp;Listas!$M$7,'Caja Efectivo'!$I$6:$I$1005,"USD")</f>
        <v>0</v>
      </c>
      <c r="E19" s="85">
        <f t="shared" si="2"/>
        <v>0</v>
      </c>
    </row>
    <row r="20">
      <c r="A20" s="66" t="s">
        <v>299</v>
      </c>
      <c r="B20" s="88">
        <f>SUMIFS('Caja Efectivo'!$J$6:$J$1005,'Caja Efectivo'!$B$6:$B$1005,"Otra entrada de efectivo",'Caja Efectivo'!$A$6:$A$1005,"&gt;="&amp;Listas!$L$5,'Caja Efectivo'!$A$6:$A$1005,"&lt;="&amp;Listas!$M$5,'Caja Efectivo'!$I$6:$I$1005,"USD")</f>
        <v>0</v>
      </c>
      <c r="C20" s="88">
        <f>SUMIFS('Caja Efectivo'!$J$6:$J$1005,'Caja Efectivo'!$B$6:$B$1005,"Otra entrada de efectivo",'Caja Efectivo'!$A$6:$A$1005,"&gt;="&amp;Listas!$L$6,'Caja Efectivo'!$A$6:$A$1005,"&lt;="&amp;Listas!$M$6,'Caja Efectivo'!$I$6:$I$1005,"USD")</f>
        <v>0</v>
      </c>
      <c r="D20" s="88">
        <f>SUMIFS('Caja Efectivo'!$J$6:$J$1005,'Caja Efectivo'!$B$6:$B$1005,"Otra entrada de efectivo",'Caja Efectivo'!$A$6:$A$1005,"&gt;="&amp;Listas!$L$7,'Caja Efectivo'!$A$6:$A$1005,"&lt;="&amp;Listas!$M$7,'Caja Efectivo'!$I$6:$I$1005,"USD")</f>
        <v>0</v>
      </c>
      <c r="E20" s="85">
        <f t="shared" si="2"/>
        <v>0</v>
      </c>
    </row>
    <row r="21" ht="15.75" customHeight="1">
      <c r="A21" s="66" t="s">
        <v>300</v>
      </c>
      <c r="B21" s="88">
        <f>SUMIFS('Caja Efectivo'!$J$6:$J$1005,'Caja Efectivo'!$B$6:$B$1005,"Ajuste de arqueo (+)",'Caja Efectivo'!$A$6:$A$1005,"&gt;="&amp;Listas!$L$5,'Caja Efectivo'!$A$6:$A$1005,"&lt;="&amp;Listas!$M$5,'Caja Efectivo'!$I$6:$I$1005,"USD")</f>
        <v>0</v>
      </c>
      <c r="C21" s="88">
        <f>SUMIFS('Caja Efectivo'!$J$6:$J$1005,'Caja Efectivo'!$B$6:$B$1005,"Ajuste de arqueo (+)",'Caja Efectivo'!$A$6:$A$1005,"&gt;="&amp;Listas!$L$6,'Caja Efectivo'!$A$6:$A$1005,"&lt;="&amp;Listas!$M$6,'Caja Efectivo'!$I$6:$I$1005,"USD")</f>
        <v>0</v>
      </c>
      <c r="D21" s="88">
        <f>SUMIFS('Caja Efectivo'!$J$6:$J$1005,'Caja Efectivo'!$B$6:$B$1005,"Ajuste de arqueo (+)",'Caja Efectivo'!$A$6:$A$1005,"&gt;="&amp;Listas!$L$7,'Caja Efectivo'!$A$6:$A$1005,"&lt;="&amp;Listas!$M$7,'Caja Efectivo'!$I$6:$I$1005,"USD")</f>
        <v>0</v>
      </c>
      <c r="E21" s="85">
        <f t="shared" si="2"/>
        <v>0</v>
      </c>
    </row>
    <row r="22" ht="15.75" customHeight="1">
      <c r="A22" s="16" t="s">
        <v>301</v>
      </c>
      <c r="B22" s="85">
        <f t="shared" ref="B22:D22" si="3">SUM(B18:B21)</f>
        <v>654.7864924</v>
      </c>
      <c r="C22" s="85">
        <f t="shared" si="3"/>
        <v>0</v>
      </c>
      <c r="D22" s="85">
        <f t="shared" si="3"/>
        <v>0</v>
      </c>
      <c r="E22" s="85">
        <f t="shared" si="2"/>
        <v>654.7864924</v>
      </c>
    </row>
    <row r="23" ht="15.75" customHeight="1">
      <c r="A23" s="66" t="s">
        <v>302</v>
      </c>
      <c r="B23" s="88">
        <f>SUMIFS('Caja Efectivo'!$J$6:$J$1005,'Caja Efectivo'!$B$6:$B$1005,"Compra / pago en efectivo",'Caja Efectivo'!$A$6:$A$1005,"&gt;="&amp;Listas!$L$5,'Caja Efectivo'!$A$6:$A$1005,"&lt;="&amp;Listas!$M$5,'Caja Efectivo'!$I$6:$I$1005,"USD")</f>
        <v>0</v>
      </c>
      <c r="C23" s="88">
        <f>SUMIFS('Caja Efectivo'!$J$6:$J$1005,'Caja Efectivo'!$B$6:$B$1005,"Compra / pago en efectivo",'Caja Efectivo'!$A$6:$A$1005,"&gt;="&amp;Listas!$L$6,'Caja Efectivo'!$A$6:$A$1005,"&lt;="&amp;Listas!$M$6,'Caja Efectivo'!$I$6:$I$1005,"USD")</f>
        <v>0</v>
      </c>
      <c r="D23" s="88">
        <f>SUMIFS('Caja Efectivo'!$J$6:$J$1005,'Caja Efectivo'!$B$6:$B$1005,"Compra / pago en efectivo",'Caja Efectivo'!$A$6:$A$1005,"&gt;="&amp;Listas!$L$7,'Caja Efectivo'!$A$6:$A$1005,"&lt;="&amp;Listas!$M$7,'Caja Efectivo'!$I$6:$I$1005,"USD")</f>
        <v>0</v>
      </c>
      <c r="E23" s="85">
        <f t="shared" si="2"/>
        <v>0</v>
      </c>
    </row>
    <row r="24" ht="15.75" customHeight="1">
      <c r="A24" s="66" t="s">
        <v>303</v>
      </c>
      <c r="B24" s="88">
        <f>SUMIFS('Caja Efectivo'!$J$6:$J$1005,'Caja Efectivo'!$B$6:$B$1005,"Depósito de caja al banco",'Caja Efectivo'!$A$6:$A$1005,"&gt;="&amp;Listas!$L$5,'Caja Efectivo'!$A$6:$A$1005,"&lt;="&amp;Listas!$M$5,'Caja Efectivo'!$I$6:$I$1005,"USD")</f>
        <v>0</v>
      </c>
      <c r="C24" s="88">
        <f>SUMIFS('Caja Efectivo'!$J$6:$J$1005,'Caja Efectivo'!$B$6:$B$1005,"Depósito de caja al banco",'Caja Efectivo'!$A$6:$A$1005,"&gt;="&amp;Listas!$L$6,'Caja Efectivo'!$A$6:$A$1005,"&lt;="&amp;Listas!$M$6,'Caja Efectivo'!$I$6:$I$1005,"USD")</f>
        <v>0</v>
      </c>
      <c r="D24" s="88">
        <f>SUMIFS('Caja Efectivo'!$J$6:$J$1005,'Caja Efectivo'!$B$6:$B$1005,"Depósito de caja al banco",'Caja Efectivo'!$A$6:$A$1005,"&gt;="&amp;Listas!$L$7,'Caja Efectivo'!$A$6:$A$1005,"&lt;="&amp;Listas!$M$7,'Caja Efectivo'!$I$6:$I$1005,"USD")</f>
        <v>0</v>
      </c>
      <c r="E24" s="85">
        <f t="shared" si="2"/>
        <v>0</v>
      </c>
    </row>
    <row r="25" ht="15.75" customHeight="1">
      <c r="A25" s="66" t="s">
        <v>304</v>
      </c>
      <c r="B25" s="88">
        <f>SUMIFS('Caja Efectivo'!$J$6:$J$1005,'Caja Efectivo'!$B$6:$B$1005,"Vale / adelanto",'Caja Efectivo'!$A$6:$A$1005,"&gt;="&amp;Listas!$L$5,'Caja Efectivo'!$A$6:$A$1005,"&lt;="&amp;Listas!$M$5,'Caja Efectivo'!$I$6:$I$1005,"USD")</f>
        <v>0</v>
      </c>
      <c r="C25" s="88">
        <f>SUMIFS('Caja Efectivo'!$J$6:$J$1005,'Caja Efectivo'!$B$6:$B$1005,"Vale / adelanto",'Caja Efectivo'!$A$6:$A$1005,"&gt;="&amp;Listas!$L$6,'Caja Efectivo'!$A$6:$A$1005,"&lt;="&amp;Listas!$M$6,'Caja Efectivo'!$I$6:$I$1005,"USD")</f>
        <v>0</v>
      </c>
      <c r="D25" s="88">
        <f>SUMIFS('Caja Efectivo'!$J$6:$J$1005,'Caja Efectivo'!$B$6:$B$1005,"Vale / adelanto",'Caja Efectivo'!$A$6:$A$1005,"&gt;="&amp;Listas!$L$7,'Caja Efectivo'!$A$6:$A$1005,"&lt;="&amp;Listas!$M$7,'Caja Efectivo'!$I$6:$I$1005,"USD")</f>
        <v>0</v>
      </c>
      <c r="E25" s="85">
        <f t="shared" si="2"/>
        <v>0</v>
      </c>
    </row>
    <row r="26" ht="15.75" customHeight="1">
      <c r="A26" s="66" t="s">
        <v>305</v>
      </c>
      <c r="B26" s="88">
        <f>SUMIFS('Caja Efectivo'!$J$6:$J$1005,'Caja Efectivo'!$B$6:$B$1005,"Ajuste de arqueo (−)",'Caja Efectivo'!$A$6:$A$1005,"&gt;="&amp;Listas!$L$5,'Caja Efectivo'!$A$6:$A$1005,"&lt;="&amp;Listas!$M$5,'Caja Efectivo'!$I$6:$I$1005,"USD")</f>
        <v>0</v>
      </c>
      <c r="C26" s="88">
        <f>SUMIFS('Caja Efectivo'!$J$6:$J$1005,'Caja Efectivo'!$B$6:$B$1005,"Ajuste de arqueo (−)",'Caja Efectivo'!$A$6:$A$1005,"&gt;="&amp;Listas!$L$6,'Caja Efectivo'!$A$6:$A$1005,"&lt;="&amp;Listas!$M$6,'Caja Efectivo'!$I$6:$I$1005,"USD")</f>
        <v>0</v>
      </c>
      <c r="D26" s="88">
        <f>SUMIFS('Caja Efectivo'!$J$6:$J$1005,'Caja Efectivo'!$B$6:$B$1005,"Ajuste de arqueo (−)",'Caja Efectivo'!$A$6:$A$1005,"&gt;="&amp;Listas!$L$7,'Caja Efectivo'!$A$6:$A$1005,"&lt;="&amp;Listas!$M$7,'Caja Efectivo'!$I$6:$I$1005,"USD")</f>
        <v>0</v>
      </c>
      <c r="E26" s="85">
        <f t="shared" si="2"/>
        <v>0</v>
      </c>
    </row>
    <row r="27" ht="15.75" customHeight="1">
      <c r="A27" s="16" t="s">
        <v>306</v>
      </c>
      <c r="B27" s="85">
        <f t="shared" ref="B27:D27" si="4">SUM(B23:B26)</f>
        <v>0</v>
      </c>
      <c r="C27" s="85">
        <f t="shared" si="4"/>
        <v>0</v>
      </c>
      <c r="D27" s="85">
        <f t="shared" si="4"/>
        <v>0</v>
      </c>
      <c r="E27" s="85">
        <f t="shared" si="2"/>
        <v>0</v>
      </c>
    </row>
    <row r="28" ht="15.75" customHeight="1">
      <c r="A28" s="16" t="s">
        <v>307</v>
      </c>
      <c r="B28" s="85">
        <f t="shared" ref="B28:D28" si="5">B22-B27</f>
        <v>654.7864924</v>
      </c>
      <c r="C28" s="85">
        <f t="shared" si="5"/>
        <v>0</v>
      </c>
      <c r="D28" s="85">
        <f t="shared" si="5"/>
        <v>0</v>
      </c>
      <c r="E28" s="85">
        <f t="shared" si="2"/>
        <v>654.7864924</v>
      </c>
    </row>
    <row r="29" ht="15.75" customHeight="1">
      <c r="A29" s="16" t="s">
        <v>308</v>
      </c>
      <c r="B29" s="85">
        <f t="shared" ref="B29:D29" si="6">B17+B28</f>
        <v>654.7864924</v>
      </c>
      <c r="C29" s="85">
        <f t="shared" si="6"/>
        <v>654.7864924</v>
      </c>
      <c r="D29" s="85">
        <f t="shared" si="6"/>
        <v>654.7864924</v>
      </c>
      <c r="E29" s="85">
        <f>D29</f>
        <v>654.7864924</v>
      </c>
    </row>
    <row r="30" ht="15.75" customHeight="1"/>
    <row r="31" ht="15.75" customHeight="1"/>
    <row r="32" ht="30.0" customHeight="1">
      <c r="A32" s="18" t="s">
        <v>309</v>
      </c>
      <c r="B32" s="18" t="str">
        <f>Listas!$K$5</f>
        <v>Octubre 2026</v>
      </c>
      <c r="C32" s="18" t="str">
        <f>Listas!$K$6</f>
        <v>Noviembre 2026</v>
      </c>
      <c r="D32" s="18" t="str">
        <f>Listas!$K$7</f>
        <v>Diciembre 2026</v>
      </c>
      <c r="E32" s="18" t="s">
        <v>295</v>
      </c>
    </row>
    <row r="33" ht="15.75" customHeight="1">
      <c r="A33" s="16" t="s">
        <v>296</v>
      </c>
      <c r="B33" s="89">
        <f>$C$7</f>
        <v>0</v>
      </c>
      <c r="C33" s="89">
        <f t="shared" ref="C33:D33" si="7">B45</f>
        <v>0</v>
      </c>
      <c r="D33" s="89">
        <f t="shared" si="7"/>
        <v>0</v>
      </c>
      <c r="E33" s="86">
        <f>B33</f>
        <v>0</v>
      </c>
    </row>
    <row r="34" ht="15.75" customHeight="1">
      <c r="A34" s="66" t="s">
        <v>297</v>
      </c>
      <c r="B34" s="90">
        <f>SUMIFS('Caja Efectivo'!$J$6:$J$1005,'Caja Efectivo'!$B$6:$B$1005,"Venta / cobro en efectivo",'Caja Efectivo'!$A$6:$A$1005,"&gt;="&amp;Listas!$L$5,'Caja Efectivo'!$A$6:$A$1005,"&lt;="&amp;Listas!$M$5,'Caja Efectivo'!$I$6:$I$1005,"CRC")</f>
        <v>0</v>
      </c>
      <c r="C34" s="90">
        <f>SUMIFS('Caja Efectivo'!$J$6:$J$1005,'Caja Efectivo'!$B$6:$B$1005,"Venta / cobro en efectivo",'Caja Efectivo'!$A$6:$A$1005,"&gt;="&amp;Listas!$L$6,'Caja Efectivo'!$A$6:$A$1005,"&lt;="&amp;Listas!$M$6,'Caja Efectivo'!$I$6:$I$1005,"CRC")</f>
        <v>0</v>
      </c>
      <c r="D34" s="90">
        <f>SUMIFS('Caja Efectivo'!$J$6:$J$1005,'Caja Efectivo'!$B$6:$B$1005,"Venta / cobro en efectivo",'Caja Efectivo'!$A$6:$A$1005,"&gt;="&amp;Listas!$L$7,'Caja Efectivo'!$A$6:$A$1005,"&lt;="&amp;Listas!$M$7,'Caja Efectivo'!$I$6:$I$1005,"CRC")</f>
        <v>0</v>
      </c>
      <c r="E34" s="86">
        <f t="shared" ref="E34:E44" si="8">SUM(B34:D34)</f>
        <v>0</v>
      </c>
    </row>
    <row r="35" ht="15.75" customHeight="1">
      <c r="A35" s="66" t="s">
        <v>298</v>
      </c>
      <c r="B35" s="90">
        <f>SUMIFS('Caja Efectivo'!$J$6:$J$1005,'Caja Efectivo'!$B$6:$B$1005,"Retiro de banco a caja",'Caja Efectivo'!$A$6:$A$1005,"&gt;="&amp;Listas!$L$5,'Caja Efectivo'!$A$6:$A$1005,"&lt;="&amp;Listas!$M$5,'Caja Efectivo'!$I$6:$I$1005,"CRC")</f>
        <v>0</v>
      </c>
      <c r="C35" s="90">
        <f>SUMIFS('Caja Efectivo'!$J$6:$J$1005,'Caja Efectivo'!$B$6:$B$1005,"Retiro de banco a caja",'Caja Efectivo'!$A$6:$A$1005,"&gt;="&amp;Listas!$L$6,'Caja Efectivo'!$A$6:$A$1005,"&lt;="&amp;Listas!$M$6,'Caja Efectivo'!$I$6:$I$1005,"CRC")</f>
        <v>0</v>
      </c>
      <c r="D35" s="90">
        <f>SUMIFS('Caja Efectivo'!$J$6:$J$1005,'Caja Efectivo'!$B$6:$B$1005,"Retiro de banco a caja",'Caja Efectivo'!$A$6:$A$1005,"&gt;="&amp;Listas!$L$7,'Caja Efectivo'!$A$6:$A$1005,"&lt;="&amp;Listas!$M$7,'Caja Efectivo'!$I$6:$I$1005,"CRC")</f>
        <v>0</v>
      </c>
      <c r="E35" s="86">
        <f t="shared" si="8"/>
        <v>0</v>
      </c>
    </row>
    <row r="36" ht="15.75" customHeight="1">
      <c r="A36" s="66" t="s">
        <v>299</v>
      </c>
      <c r="B36" s="90">
        <f>SUMIFS('Caja Efectivo'!$J$6:$J$1005,'Caja Efectivo'!$B$6:$B$1005,"Otra entrada de efectivo",'Caja Efectivo'!$A$6:$A$1005,"&gt;="&amp;Listas!$L$5,'Caja Efectivo'!$A$6:$A$1005,"&lt;="&amp;Listas!$M$5,'Caja Efectivo'!$I$6:$I$1005,"CRC")</f>
        <v>0</v>
      </c>
      <c r="C36" s="90">
        <f>SUMIFS('Caja Efectivo'!$J$6:$J$1005,'Caja Efectivo'!$B$6:$B$1005,"Otra entrada de efectivo",'Caja Efectivo'!$A$6:$A$1005,"&gt;="&amp;Listas!$L$6,'Caja Efectivo'!$A$6:$A$1005,"&lt;="&amp;Listas!$M$6,'Caja Efectivo'!$I$6:$I$1005,"CRC")</f>
        <v>0</v>
      </c>
      <c r="D36" s="90">
        <f>SUMIFS('Caja Efectivo'!$J$6:$J$1005,'Caja Efectivo'!$B$6:$B$1005,"Otra entrada de efectivo",'Caja Efectivo'!$A$6:$A$1005,"&gt;="&amp;Listas!$L$7,'Caja Efectivo'!$A$6:$A$1005,"&lt;="&amp;Listas!$M$7,'Caja Efectivo'!$I$6:$I$1005,"CRC")</f>
        <v>0</v>
      </c>
      <c r="E36" s="86">
        <f t="shared" si="8"/>
        <v>0</v>
      </c>
    </row>
    <row r="37" ht="15.75" customHeight="1">
      <c r="A37" s="66" t="s">
        <v>300</v>
      </c>
      <c r="B37" s="90">
        <f>SUMIFS('Caja Efectivo'!$J$6:$J$1005,'Caja Efectivo'!$B$6:$B$1005,"Ajuste de arqueo (+)",'Caja Efectivo'!$A$6:$A$1005,"&gt;="&amp;Listas!$L$5,'Caja Efectivo'!$A$6:$A$1005,"&lt;="&amp;Listas!$M$5,'Caja Efectivo'!$I$6:$I$1005,"CRC")</f>
        <v>0</v>
      </c>
      <c r="C37" s="90">
        <f>SUMIFS('Caja Efectivo'!$J$6:$J$1005,'Caja Efectivo'!$B$6:$B$1005,"Ajuste de arqueo (+)",'Caja Efectivo'!$A$6:$A$1005,"&gt;="&amp;Listas!$L$6,'Caja Efectivo'!$A$6:$A$1005,"&lt;="&amp;Listas!$M$6,'Caja Efectivo'!$I$6:$I$1005,"CRC")</f>
        <v>0</v>
      </c>
      <c r="D37" s="90">
        <f>SUMIFS('Caja Efectivo'!$J$6:$J$1005,'Caja Efectivo'!$B$6:$B$1005,"Ajuste de arqueo (+)",'Caja Efectivo'!$A$6:$A$1005,"&gt;="&amp;Listas!$L$7,'Caja Efectivo'!$A$6:$A$1005,"&lt;="&amp;Listas!$M$7,'Caja Efectivo'!$I$6:$I$1005,"CRC")</f>
        <v>0</v>
      </c>
      <c r="E37" s="86">
        <f t="shared" si="8"/>
        <v>0</v>
      </c>
    </row>
    <row r="38" ht="15.75" customHeight="1">
      <c r="A38" s="16" t="s">
        <v>301</v>
      </c>
      <c r="B38" s="86">
        <f t="shared" ref="B38:D38" si="9">SUM(B34:B37)</f>
        <v>0</v>
      </c>
      <c r="C38" s="86">
        <f t="shared" si="9"/>
        <v>0</v>
      </c>
      <c r="D38" s="86">
        <f t="shared" si="9"/>
        <v>0</v>
      </c>
      <c r="E38" s="86">
        <f t="shared" si="8"/>
        <v>0</v>
      </c>
    </row>
    <row r="39" ht="15.75" customHeight="1">
      <c r="A39" s="66" t="s">
        <v>302</v>
      </c>
      <c r="B39" s="90">
        <f>SUMIFS('Caja Efectivo'!$J$6:$J$1005,'Caja Efectivo'!$B$6:$B$1005,"Compra / pago en efectivo",'Caja Efectivo'!$A$6:$A$1005,"&gt;="&amp;Listas!$L$5,'Caja Efectivo'!$A$6:$A$1005,"&lt;="&amp;Listas!$M$5,'Caja Efectivo'!$I$6:$I$1005,"CRC")</f>
        <v>0</v>
      </c>
      <c r="C39" s="90">
        <f>SUMIFS('Caja Efectivo'!$J$6:$J$1005,'Caja Efectivo'!$B$6:$B$1005,"Compra / pago en efectivo",'Caja Efectivo'!$A$6:$A$1005,"&gt;="&amp;Listas!$L$6,'Caja Efectivo'!$A$6:$A$1005,"&lt;="&amp;Listas!$M$6,'Caja Efectivo'!$I$6:$I$1005,"CRC")</f>
        <v>0</v>
      </c>
      <c r="D39" s="90">
        <f>SUMIFS('Caja Efectivo'!$J$6:$J$1005,'Caja Efectivo'!$B$6:$B$1005,"Compra / pago en efectivo",'Caja Efectivo'!$A$6:$A$1005,"&gt;="&amp;Listas!$L$7,'Caja Efectivo'!$A$6:$A$1005,"&lt;="&amp;Listas!$M$7,'Caja Efectivo'!$I$6:$I$1005,"CRC")</f>
        <v>0</v>
      </c>
      <c r="E39" s="86">
        <f t="shared" si="8"/>
        <v>0</v>
      </c>
    </row>
    <row r="40" ht="15.75" customHeight="1">
      <c r="A40" s="66" t="s">
        <v>303</v>
      </c>
      <c r="B40" s="90">
        <f>SUMIFS('Caja Efectivo'!$J$6:$J$1005,'Caja Efectivo'!$B$6:$B$1005,"Depósito de caja al banco",'Caja Efectivo'!$A$6:$A$1005,"&gt;="&amp;Listas!$L$5,'Caja Efectivo'!$A$6:$A$1005,"&lt;="&amp;Listas!$M$5,'Caja Efectivo'!$I$6:$I$1005,"CRC")</f>
        <v>0</v>
      </c>
      <c r="C40" s="90">
        <f>SUMIFS('Caja Efectivo'!$J$6:$J$1005,'Caja Efectivo'!$B$6:$B$1005,"Depósito de caja al banco",'Caja Efectivo'!$A$6:$A$1005,"&gt;="&amp;Listas!$L$6,'Caja Efectivo'!$A$6:$A$1005,"&lt;="&amp;Listas!$M$6,'Caja Efectivo'!$I$6:$I$1005,"CRC")</f>
        <v>0</v>
      </c>
      <c r="D40" s="90">
        <f>SUMIFS('Caja Efectivo'!$J$6:$J$1005,'Caja Efectivo'!$B$6:$B$1005,"Depósito de caja al banco",'Caja Efectivo'!$A$6:$A$1005,"&gt;="&amp;Listas!$L$7,'Caja Efectivo'!$A$6:$A$1005,"&lt;="&amp;Listas!$M$7,'Caja Efectivo'!$I$6:$I$1005,"CRC")</f>
        <v>0</v>
      </c>
      <c r="E40" s="86">
        <f t="shared" si="8"/>
        <v>0</v>
      </c>
    </row>
    <row r="41" ht="15.75" customHeight="1">
      <c r="A41" s="66" t="s">
        <v>304</v>
      </c>
      <c r="B41" s="90">
        <f>SUMIFS('Caja Efectivo'!$J$6:$J$1005,'Caja Efectivo'!$B$6:$B$1005,"Vale / adelanto",'Caja Efectivo'!$A$6:$A$1005,"&gt;="&amp;Listas!$L$5,'Caja Efectivo'!$A$6:$A$1005,"&lt;="&amp;Listas!$M$5,'Caja Efectivo'!$I$6:$I$1005,"CRC")</f>
        <v>0</v>
      </c>
      <c r="C41" s="90">
        <f>SUMIFS('Caja Efectivo'!$J$6:$J$1005,'Caja Efectivo'!$B$6:$B$1005,"Vale / adelanto",'Caja Efectivo'!$A$6:$A$1005,"&gt;="&amp;Listas!$L$6,'Caja Efectivo'!$A$6:$A$1005,"&lt;="&amp;Listas!$M$6,'Caja Efectivo'!$I$6:$I$1005,"CRC")</f>
        <v>0</v>
      </c>
      <c r="D41" s="90">
        <f>SUMIFS('Caja Efectivo'!$J$6:$J$1005,'Caja Efectivo'!$B$6:$B$1005,"Vale / adelanto",'Caja Efectivo'!$A$6:$A$1005,"&gt;="&amp;Listas!$L$7,'Caja Efectivo'!$A$6:$A$1005,"&lt;="&amp;Listas!$M$7,'Caja Efectivo'!$I$6:$I$1005,"CRC")</f>
        <v>0</v>
      </c>
      <c r="E41" s="86">
        <f t="shared" si="8"/>
        <v>0</v>
      </c>
    </row>
    <row r="42" ht="15.75" customHeight="1">
      <c r="A42" s="66" t="s">
        <v>305</v>
      </c>
      <c r="B42" s="90">
        <f>SUMIFS('Caja Efectivo'!$J$6:$J$1005,'Caja Efectivo'!$B$6:$B$1005,"Ajuste de arqueo (−)",'Caja Efectivo'!$A$6:$A$1005,"&gt;="&amp;Listas!$L$5,'Caja Efectivo'!$A$6:$A$1005,"&lt;="&amp;Listas!$M$5,'Caja Efectivo'!$I$6:$I$1005,"CRC")</f>
        <v>0</v>
      </c>
      <c r="C42" s="90">
        <f>SUMIFS('Caja Efectivo'!$J$6:$J$1005,'Caja Efectivo'!$B$6:$B$1005,"Ajuste de arqueo (−)",'Caja Efectivo'!$A$6:$A$1005,"&gt;="&amp;Listas!$L$6,'Caja Efectivo'!$A$6:$A$1005,"&lt;="&amp;Listas!$M$6,'Caja Efectivo'!$I$6:$I$1005,"CRC")</f>
        <v>0</v>
      </c>
      <c r="D42" s="90">
        <f>SUMIFS('Caja Efectivo'!$J$6:$J$1005,'Caja Efectivo'!$B$6:$B$1005,"Ajuste de arqueo (−)",'Caja Efectivo'!$A$6:$A$1005,"&gt;="&amp;Listas!$L$7,'Caja Efectivo'!$A$6:$A$1005,"&lt;="&amp;Listas!$M$7,'Caja Efectivo'!$I$6:$I$1005,"CRC")</f>
        <v>0</v>
      </c>
      <c r="E42" s="86">
        <f t="shared" si="8"/>
        <v>0</v>
      </c>
    </row>
    <row r="43" ht="15.75" customHeight="1">
      <c r="A43" s="16" t="s">
        <v>306</v>
      </c>
      <c r="B43" s="86">
        <f t="shared" ref="B43:D43" si="10">SUM(B39:B42)</f>
        <v>0</v>
      </c>
      <c r="C43" s="86">
        <f t="shared" si="10"/>
        <v>0</v>
      </c>
      <c r="D43" s="86">
        <f t="shared" si="10"/>
        <v>0</v>
      </c>
      <c r="E43" s="86">
        <f t="shared" si="8"/>
        <v>0</v>
      </c>
    </row>
    <row r="44" ht="15.75" customHeight="1">
      <c r="A44" s="16" t="s">
        <v>307</v>
      </c>
      <c r="B44" s="86">
        <f t="shared" ref="B44:D44" si="11">B38-B43</f>
        <v>0</v>
      </c>
      <c r="C44" s="86">
        <f t="shared" si="11"/>
        <v>0</v>
      </c>
      <c r="D44" s="86">
        <f t="shared" si="11"/>
        <v>0</v>
      </c>
      <c r="E44" s="86">
        <f t="shared" si="8"/>
        <v>0</v>
      </c>
    </row>
    <row r="45" ht="15.75" customHeight="1">
      <c r="A45" s="16" t="s">
        <v>308</v>
      </c>
      <c r="B45" s="86">
        <f t="shared" ref="B45:D45" si="12">B33+B44</f>
        <v>0</v>
      </c>
      <c r="C45" s="86">
        <f t="shared" si="12"/>
        <v>0</v>
      </c>
      <c r="D45" s="86">
        <f t="shared" si="12"/>
        <v>0</v>
      </c>
      <c r="E45" s="86">
        <f>D45</f>
        <v>0</v>
      </c>
    </row>
    <row r="46" ht="15.75" customHeight="1"/>
    <row r="47" ht="15.75" customHeight="1">
      <c r="A47" s="78" t="s">
        <v>310</v>
      </c>
      <c r="B47" s="79"/>
      <c r="C47" s="79"/>
      <c r="D47" s="79"/>
      <c r="E47" s="79"/>
      <c r="F47" s="79"/>
      <c r="G47" s="79"/>
      <c r="H47" s="79"/>
      <c r="I47" s="79"/>
      <c r="J47" s="79"/>
    </row>
    <row r="48" ht="30.0" customHeight="1">
      <c r="A48" s="18" t="s">
        <v>281</v>
      </c>
      <c r="B48" s="18" t="str">
        <f>Listas!$K$5</f>
        <v>Octubre 2026</v>
      </c>
      <c r="C48" s="18" t="str">
        <f>Listas!$K$6</f>
        <v>Noviembre 2026</v>
      </c>
      <c r="D48" s="18" t="str">
        <f>Listas!$K$7</f>
        <v>Diciembre 2026</v>
      </c>
      <c r="E48" s="18" t="s">
        <v>295</v>
      </c>
    </row>
    <row r="49" ht="25.5" customHeight="1">
      <c r="A49" s="91" t="s">
        <v>311</v>
      </c>
      <c r="B49" s="88">
        <f>SUMIFS('Gastos Diarios'!$F$35:$F$1049,'Gastos Diarios'!$E$35:$E$1049,"Efectivo",'Gastos Diarios'!$A$35:$A$1049,"&gt;="&amp;Listas!$L$5,'Gastos Diarios'!$A$35:$A$1049,"&lt;="&amp;Listas!$M$5)</f>
        <v>835.5849927</v>
      </c>
      <c r="C49" s="88">
        <f>SUMIFS('Gastos Diarios'!$F$35:$F$1049,'Gastos Diarios'!$E$35:$E$1049,"Efectivo",'Gastos Diarios'!$A$35:$A$1049,"&gt;="&amp;Listas!$L$6,'Gastos Diarios'!$A$35:$A$1049,"&lt;="&amp;Listas!$M$6)</f>
        <v>0</v>
      </c>
      <c r="D49" s="88">
        <f>SUMIFS('Gastos Diarios'!$F$35:$F$1049,'Gastos Diarios'!$E$35:$E$1049,"Efectivo",'Gastos Diarios'!$A$35:$A$1049,"&gt;="&amp;Listas!$L$7,'Gastos Diarios'!$A$35:$A$1049,"&lt;="&amp;Listas!$M$7)</f>
        <v>0</v>
      </c>
      <c r="E49" s="85">
        <f t="shared" ref="E49:E56" si="13">SUM(B49:D49)</f>
        <v>835.5849927</v>
      </c>
    </row>
    <row r="50" ht="25.5" customHeight="1">
      <c r="A50" s="91" t="s">
        <v>312</v>
      </c>
      <c r="B50" s="88">
        <f>SUMIFS('Caja Efectivo'!$L$6:$L$1005,'Caja Efectivo'!$B$6:$B$1005,"Compra / pago en efectivo",'Caja Efectivo'!$A$6:$A$1005,"&gt;="&amp;Listas!$L$5,'Caja Efectivo'!$A$6:$A$1005,"&lt;="&amp;Listas!$M$5)</f>
        <v>0</v>
      </c>
      <c r="C50" s="88">
        <f>SUMIFS('Caja Efectivo'!$L$6:$L$1005,'Caja Efectivo'!$B$6:$B$1005,"Compra / pago en efectivo",'Caja Efectivo'!$A$6:$A$1005,"&gt;="&amp;Listas!$L$6,'Caja Efectivo'!$A$6:$A$1005,"&lt;="&amp;Listas!$M$6)</f>
        <v>0</v>
      </c>
      <c r="D50" s="88">
        <f>SUMIFS('Caja Efectivo'!$L$6:$L$1005,'Caja Efectivo'!$B$6:$B$1005,"Compra / pago en efectivo",'Caja Efectivo'!$A$6:$A$1005,"&gt;="&amp;Listas!$L$7,'Caja Efectivo'!$A$6:$A$1005,"&lt;="&amp;Listas!$M$7)</f>
        <v>0</v>
      </c>
      <c r="E50" s="85">
        <f t="shared" si="13"/>
        <v>0</v>
      </c>
    </row>
    <row r="51" ht="25.5" customHeight="1">
      <c r="A51" s="92" t="s">
        <v>313</v>
      </c>
      <c r="B51" s="85">
        <f t="shared" ref="B51:D51" si="14">B49-B50</f>
        <v>835.5849927</v>
      </c>
      <c r="C51" s="85">
        <f t="shared" si="14"/>
        <v>0</v>
      </c>
      <c r="D51" s="85">
        <f t="shared" si="14"/>
        <v>0</v>
      </c>
      <c r="E51" s="85">
        <f t="shared" si="13"/>
        <v>835.5849927</v>
      </c>
    </row>
    <row r="52" ht="25.5" customHeight="1">
      <c r="A52" s="91" t="s">
        <v>314</v>
      </c>
      <c r="B52" s="88">
        <f>SUMIFS('Ingresos Diarios'!$H$27:$H$1026,'Ingresos Diarios'!$I$27:$I$1026,"Efectivo",'Ingresos Diarios'!$A$27:$A$1026,"&gt;="&amp;Listas!$L$5,'Ingresos Diarios'!$A$27:$A$1026,"&lt;="&amp;Listas!$M$5)</f>
        <v>823.8932462</v>
      </c>
      <c r="C52" s="88">
        <f>SUMIFS('Ingresos Diarios'!$H$27:$H$1026,'Ingresos Diarios'!$I$27:$I$1026,"Efectivo",'Ingresos Diarios'!$A$27:$A$1026,"&gt;="&amp;Listas!$L$6,'Ingresos Diarios'!$A$27:$A$1026,"&lt;="&amp;Listas!$M$6)</f>
        <v>0</v>
      </c>
      <c r="D52" s="88">
        <f>SUMIFS('Ingresos Diarios'!$H$27:$H$1026,'Ingresos Diarios'!$I$27:$I$1026,"Efectivo",'Ingresos Diarios'!$A$27:$A$1026,"&gt;="&amp;Listas!$L$7,'Ingresos Diarios'!$A$27:$A$1026,"&lt;="&amp;Listas!$M$7)</f>
        <v>0</v>
      </c>
      <c r="E52" s="85">
        <f t="shared" si="13"/>
        <v>823.8932462</v>
      </c>
    </row>
    <row r="53" ht="25.5" customHeight="1">
      <c r="A53" s="91" t="s">
        <v>315</v>
      </c>
      <c r="B53" s="88">
        <f>SUMIFS('Caja Efectivo'!$L$6:$L$1005,'Caja Efectivo'!$B$6:$B$1005,"Venta / cobro en efectivo",'Caja Efectivo'!$A$6:$A$1005,"&gt;="&amp;Listas!$L$5,'Caja Efectivo'!$A$6:$A$1005,"&lt;="&amp;Listas!$M$5)</f>
        <v>654.7864924</v>
      </c>
      <c r="C53" s="88">
        <f>SUMIFS('Caja Efectivo'!$L$6:$L$1005,'Caja Efectivo'!$B$6:$B$1005,"Venta / cobro en efectivo",'Caja Efectivo'!$A$6:$A$1005,"&gt;="&amp;Listas!$L$6,'Caja Efectivo'!$A$6:$A$1005,"&lt;="&amp;Listas!$M$6)</f>
        <v>0</v>
      </c>
      <c r="D53" s="88">
        <f>SUMIFS('Caja Efectivo'!$L$6:$L$1005,'Caja Efectivo'!$B$6:$B$1005,"Venta / cobro en efectivo",'Caja Efectivo'!$A$6:$A$1005,"&gt;="&amp;Listas!$L$7,'Caja Efectivo'!$A$6:$A$1005,"&lt;="&amp;Listas!$M$7)</f>
        <v>0</v>
      </c>
      <c r="E53" s="85">
        <f t="shared" si="13"/>
        <v>654.7864924</v>
      </c>
    </row>
    <row r="54" ht="25.5" customHeight="1">
      <c r="A54" s="92" t="s">
        <v>316</v>
      </c>
      <c r="B54" s="85">
        <f t="shared" ref="B54:D54" si="15">B52-B53</f>
        <v>169.1067538</v>
      </c>
      <c r="C54" s="85">
        <f t="shared" si="15"/>
        <v>0</v>
      </c>
      <c r="D54" s="85">
        <f t="shared" si="15"/>
        <v>0</v>
      </c>
      <c r="E54" s="85">
        <f t="shared" si="13"/>
        <v>169.1067538</v>
      </c>
    </row>
    <row r="55" ht="25.5" customHeight="1">
      <c r="A55" s="91" t="s">
        <v>317</v>
      </c>
      <c r="B55" s="93" t="str">
        <f>COUNTIFS(#REF!,"No",'Caja Efectivo'!$A$6:$A$1005,"&gt;="&amp;Listas!$L$5,'Caja Efectivo'!$A$6:$A$1005,"&lt;="&amp;Listas!$M$5)</f>
        <v>#VALUE!</v>
      </c>
      <c r="C55" s="93" t="str">
        <f>COUNTIFS(#REF!,"No",'Caja Efectivo'!$A$6:$A$1005,"&gt;="&amp;Listas!$L$6,'Caja Efectivo'!$A$6:$A$1005,"&lt;="&amp;Listas!$M$6)</f>
        <v>#VALUE!</v>
      </c>
      <c r="D55" s="93" t="str">
        <f>COUNTIFS(#REF!,"No",'Caja Efectivo'!$A$6:$A$1005,"&gt;="&amp;Listas!$L$7,'Caja Efectivo'!$A$6:$A$1005,"&lt;="&amp;Listas!$M$7)</f>
        <v>#VALUE!</v>
      </c>
      <c r="E55" s="94" t="str">
        <f t="shared" si="13"/>
        <v>#VALUE!</v>
      </c>
    </row>
    <row r="56" ht="25.5" customHeight="1">
      <c r="A56" s="91" t="s">
        <v>318</v>
      </c>
      <c r="B56" s="93">
        <f>COUNTIFS('Caja Efectivo'!$I$6:$I$1005,"CRC",'Caja Efectivo'!$K$6:$K$1005,"",'Caja Efectivo'!$J$6:$J$1005,"&gt;0",'Caja Efectivo'!$A$6:$A$1005,"&gt;="&amp;Listas!$L$5,'Caja Efectivo'!$A$6:$A$1005,"&lt;="&amp;Listas!$M$5)</f>
        <v>0</v>
      </c>
      <c r="C56" s="93">
        <f>COUNTIFS('Caja Efectivo'!$I$6:$I$1005,"CRC",'Caja Efectivo'!$K$6:$K$1005,"",'Caja Efectivo'!$J$6:$J$1005,"&gt;0",'Caja Efectivo'!$A$6:$A$1005,"&gt;="&amp;Listas!$L$6,'Caja Efectivo'!$A$6:$A$1005,"&lt;="&amp;Listas!$M$6)</f>
        <v>0</v>
      </c>
      <c r="D56" s="93">
        <f>COUNTIFS('Caja Efectivo'!$I$6:$I$1005,"CRC",'Caja Efectivo'!$K$6:$K$1005,"",'Caja Efectivo'!$J$6:$J$1005,"&gt;0",'Caja Efectivo'!$A$6:$A$1005,"&gt;="&amp;Listas!$L$7,'Caja Efectivo'!$A$6:$A$1005,"&lt;="&amp;Listas!$M$7)</f>
        <v>0</v>
      </c>
      <c r="E56" s="94">
        <f t="shared" si="13"/>
        <v>0</v>
      </c>
    </row>
    <row r="57" ht="15.75" customHeight="1">
      <c r="A57" s="82" t="s">
        <v>319</v>
      </c>
    </row>
    <row r="58" ht="15.75" customHeight="1"/>
    <row r="59" ht="15.75" customHeight="1"/>
    <row r="60" ht="15.75" customHeight="1">
      <c r="A60" s="78" t="s">
        <v>320</v>
      </c>
      <c r="B60" s="79"/>
      <c r="C60" s="79"/>
      <c r="D60" s="79"/>
      <c r="E60" s="79"/>
      <c r="F60" s="79"/>
      <c r="G60" s="79"/>
      <c r="H60" s="79"/>
      <c r="I60" s="79"/>
      <c r="J60" s="79"/>
    </row>
    <row r="61" ht="30.0" customHeight="1">
      <c r="A61" s="18" t="s">
        <v>321</v>
      </c>
      <c r="B61" s="18" t="s">
        <v>322</v>
      </c>
      <c r="C61" s="18" t="s">
        <v>323</v>
      </c>
      <c r="D61" s="70"/>
      <c r="E61" s="18" t="s">
        <v>289</v>
      </c>
      <c r="F61" s="18" t="s">
        <v>322</v>
      </c>
      <c r="G61" s="18" t="s">
        <v>323</v>
      </c>
    </row>
    <row r="62" ht="15.75" customHeight="1">
      <c r="A62" s="95">
        <v>100.0</v>
      </c>
      <c r="B62" s="96"/>
      <c r="C62" s="87">
        <f t="shared" ref="C62:C72" si="16">A62*N(B62)</f>
        <v>0</v>
      </c>
      <c r="E62" s="97">
        <v>20000.0</v>
      </c>
      <c r="F62" s="96"/>
      <c r="G62" s="89">
        <f t="shared" ref="G62:G72" si="17">E62*N(F62)</f>
        <v>0</v>
      </c>
    </row>
    <row r="63" ht="15.75" customHeight="1">
      <c r="A63" s="95">
        <v>50.0</v>
      </c>
      <c r="B63" s="96"/>
      <c r="C63" s="87">
        <f t="shared" si="16"/>
        <v>0</v>
      </c>
      <c r="E63" s="97">
        <v>10000.0</v>
      </c>
      <c r="F63" s="96"/>
      <c r="G63" s="89">
        <f t="shared" si="17"/>
        <v>0</v>
      </c>
    </row>
    <row r="64" ht="15.75" customHeight="1">
      <c r="A64" s="95">
        <v>20.0</v>
      </c>
      <c r="B64" s="96"/>
      <c r="C64" s="87">
        <f t="shared" si="16"/>
        <v>0</v>
      </c>
      <c r="E64" s="97">
        <v>5000.0</v>
      </c>
      <c r="F64" s="96"/>
      <c r="G64" s="89">
        <f t="shared" si="17"/>
        <v>0</v>
      </c>
    </row>
    <row r="65" ht="15.75" customHeight="1">
      <c r="A65" s="95">
        <v>10.0</v>
      </c>
      <c r="B65" s="96"/>
      <c r="C65" s="87">
        <f t="shared" si="16"/>
        <v>0</v>
      </c>
      <c r="E65" s="97">
        <v>2000.0</v>
      </c>
      <c r="F65" s="96"/>
      <c r="G65" s="89">
        <f t="shared" si="17"/>
        <v>0</v>
      </c>
    </row>
    <row r="66" ht="15.75" customHeight="1">
      <c r="A66" s="95">
        <v>5.0</v>
      </c>
      <c r="B66" s="96"/>
      <c r="C66" s="87">
        <f t="shared" si="16"/>
        <v>0</v>
      </c>
      <c r="E66" s="97">
        <v>1000.0</v>
      </c>
      <c r="F66" s="96"/>
      <c r="G66" s="89">
        <f t="shared" si="17"/>
        <v>0</v>
      </c>
    </row>
    <row r="67" ht="15.75" customHeight="1">
      <c r="A67" s="95">
        <v>2.0</v>
      </c>
      <c r="B67" s="96"/>
      <c r="C67" s="87">
        <f t="shared" si="16"/>
        <v>0</v>
      </c>
      <c r="E67" s="97">
        <v>500.0</v>
      </c>
      <c r="F67" s="96"/>
      <c r="G67" s="89">
        <f t="shared" si="17"/>
        <v>0</v>
      </c>
    </row>
    <row r="68" ht="15.75" customHeight="1">
      <c r="A68" s="95">
        <v>1.0</v>
      </c>
      <c r="B68" s="96"/>
      <c r="C68" s="87">
        <f t="shared" si="16"/>
        <v>0</v>
      </c>
      <c r="E68" s="97">
        <v>100.0</v>
      </c>
      <c r="F68" s="96"/>
      <c r="G68" s="89">
        <f t="shared" si="17"/>
        <v>0</v>
      </c>
    </row>
    <row r="69" ht="15.75" customHeight="1">
      <c r="A69" s="98">
        <v>0.25</v>
      </c>
      <c r="B69" s="96"/>
      <c r="C69" s="87">
        <f t="shared" si="16"/>
        <v>0</v>
      </c>
      <c r="E69" s="97">
        <v>50.0</v>
      </c>
      <c r="F69" s="96"/>
      <c r="G69" s="89">
        <f t="shared" si="17"/>
        <v>0</v>
      </c>
    </row>
    <row r="70" ht="15.75" customHeight="1">
      <c r="A70" s="98">
        <v>0.1</v>
      </c>
      <c r="B70" s="96"/>
      <c r="C70" s="87">
        <f t="shared" si="16"/>
        <v>0</v>
      </c>
      <c r="E70" s="97">
        <v>25.0</v>
      </c>
      <c r="F70" s="96"/>
      <c r="G70" s="89">
        <f t="shared" si="17"/>
        <v>0</v>
      </c>
    </row>
    <row r="71" ht="15.75" customHeight="1">
      <c r="A71" s="98">
        <v>0.05</v>
      </c>
      <c r="B71" s="96"/>
      <c r="C71" s="87">
        <f t="shared" si="16"/>
        <v>0</v>
      </c>
      <c r="E71" s="97">
        <v>10.0</v>
      </c>
      <c r="F71" s="96"/>
      <c r="G71" s="89">
        <f t="shared" si="17"/>
        <v>0</v>
      </c>
    </row>
    <row r="72" ht="15.75" customHeight="1">
      <c r="A72" s="98">
        <v>0.01</v>
      </c>
      <c r="B72" s="96"/>
      <c r="C72" s="87">
        <f t="shared" si="16"/>
        <v>0</v>
      </c>
      <c r="E72" s="97">
        <v>5.0</v>
      </c>
      <c r="F72" s="96"/>
      <c r="G72" s="89">
        <f t="shared" si="17"/>
        <v>0</v>
      </c>
    </row>
    <row r="73" ht="15.75" customHeight="1">
      <c r="A73" s="16" t="s">
        <v>324</v>
      </c>
      <c r="C73" s="85">
        <f>SUM(C62:C72)</f>
        <v>0</v>
      </c>
      <c r="E73" s="16" t="s">
        <v>325</v>
      </c>
      <c r="G73" s="86">
        <f>SUM(G62:G72)</f>
        <v>0</v>
      </c>
    </row>
    <row r="74" ht="15.75" customHeight="1">
      <c r="A74" s="16" t="s">
        <v>326</v>
      </c>
      <c r="C74" s="85">
        <f>C73-$D$12</f>
        <v>-654.7864924</v>
      </c>
      <c r="E74" s="16" t="s">
        <v>326</v>
      </c>
      <c r="G74" s="86">
        <f>G73-$E$12</f>
        <v>0</v>
      </c>
    </row>
    <row r="75" ht="15.75" customHeight="1">
      <c r="A75" s="82" t="s">
        <v>327</v>
      </c>
    </row>
    <row r="76" ht="15.75" customHeight="1"/>
    <row r="77" ht="15.75" customHeight="1"/>
    <row r="78" ht="15.75" customHeight="1">
      <c r="A78" s="78" t="s">
        <v>328</v>
      </c>
      <c r="B78" s="79"/>
      <c r="C78" s="79"/>
      <c r="D78" s="79"/>
      <c r="E78" s="79"/>
      <c r="F78" s="79"/>
      <c r="G78" s="79"/>
      <c r="H78" s="79"/>
      <c r="I78" s="79"/>
      <c r="J78" s="79"/>
    </row>
    <row r="79" ht="30.0" customHeight="1">
      <c r="A79" s="18" t="s">
        <v>329</v>
      </c>
      <c r="B79" s="18" t="s">
        <v>41</v>
      </c>
      <c r="C79" s="18" t="s">
        <v>330</v>
      </c>
      <c r="D79" s="18" t="s">
        <v>331</v>
      </c>
      <c r="E79" s="18" t="s">
        <v>332</v>
      </c>
      <c r="F79" s="18" t="s">
        <v>333</v>
      </c>
      <c r="G79" s="18" t="s">
        <v>334</v>
      </c>
      <c r="H79" s="18" t="s">
        <v>335</v>
      </c>
      <c r="I79" s="18" t="s">
        <v>336</v>
      </c>
      <c r="J79" s="70"/>
    </row>
    <row r="80" ht="15.75" customHeight="1">
      <c r="A80" s="7">
        <v>46326.0</v>
      </c>
      <c r="B80" s="8" t="s">
        <v>59</v>
      </c>
      <c r="F80" s="8" t="s">
        <v>337</v>
      </c>
      <c r="G80" s="8" t="s">
        <v>338</v>
      </c>
      <c r="H80" s="8" t="s">
        <v>339</v>
      </c>
      <c r="I80" s="8" t="s">
        <v>340</v>
      </c>
    </row>
    <row r="81" ht="15.75" customHeight="1">
      <c r="A81" s="99"/>
      <c r="B81" s="44"/>
      <c r="C81" s="100" t="str">
        <f>IF(OR(A81="",B81=""),"",IF(B81="USD",$C$6,$C$7)+SUMIFS('Caja Efectivo'!$J$6:$J$1005,'Caja Efectivo'!$I$6:$I$1005,B81,'Caja Efectivo'!$C$6:$C$1005,"Entrada",'Caja Efectivo'!$A$6:$A$1005,"&lt;="&amp;A81)-SUMIFS('Caja Efectivo'!$J$6:$J$1005,'Caja Efectivo'!$I$6:$I$1005,B81,'Caja Efectivo'!$C$6:$C$1005,"Salida",'Caja Efectivo'!$A$6:$A$1005,"&lt;="&amp;A81))</f>
        <v/>
      </c>
      <c r="D81" s="47"/>
      <c r="E81" s="100" t="str">
        <f t="shared" ref="E81:E120" si="18">IF(OR(C81="",D81=""),"",D81-C81)</f>
        <v/>
      </c>
      <c r="F81" s="44"/>
      <c r="G81" s="44"/>
      <c r="H81" s="44"/>
      <c r="I81" s="44"/>
    </row>
    <row r="82" ht="15.75" customHeight="1">
      <c r="A82" s="99"/>
      <c r="B82" s="44"/>
      <c r="C82" s="100" t="str">
        <f>IF(OR(A82="",B82=""),"",IF(B82="USD",$C$6,$C$7)+SUMIFS('Caja Efectivo'!$J$6:$J$1005,'Caja Efectivo'!$I$6:$I$1005,B82,'Caja Efectivo'!$C$6:$C$1005,"Entrada",'Caja Efectivo'!$A$6:$A$1005,"&lt;="&amp;A82)-SUMIFS('Caja Efectivo'!$J$6:$J$1005,'Caja Efectivo'!$I$6:$I$1005,B82,'Caja Efectivo'!$C$6:$C$1005,"Salida",'Caja Efectivo'!$A$6:$A$1005,"&lt;="&amp;A82))</f>
        <v/>
      </c>
      <c r="D82" s="47"/>
      <c r="E82" s="100" t="str">
        <f t="shared" si="18"/>
        <v/>
      </c>
      <c r="F82" s="44"/>
      <c r="G82" s="44"/>
      <c r="H82" s="44"/>
      <c r="I82" s="44"/>
    </row>
    <row r="83" ht="15.75" customHeight="1">
      <c r="A83" s="99"/>
      <c r="B83" s="44"/>
      <c r="C83" s="100" t="str">
        <f>IF(OR(A83="",B83=""),"",IF(B83="USD",$C$6,$C$7)+SUMIFS('Caja Efectivo'!$J$6:$J$1005,'Caja Efectivo'!$I$6:$I$1005,B83,'Caja Efectivo'!$C$6:$C$1005,"Entrada",'Caja Efectivo'!$A$6:$A$1005,"&lt;="&amp;A83)-SUMIFS('Caja Efectivo'!$J$6:$J$1005,'Caja Efectivo'!$I$6:$I$1005,B83,'Caja Efectivo'!$C$6:$C$1005,"Salida",'Caja Efectivo'!$A$6:$A$1005,"&lt;="&amp;A83))</f>
        <v/>
      </c>
      <c r="D83" s="47"/>
      <c r="E83" s="100" t="str">
        <f t="shared" si="18"/>
        <v/>
      </c>
      <c r="F83" s="44"/>
      <c r="G83" s="44"/>
      <c r="H83" s="44"/>
      <c r="I83" s="44"/>
    </row>
    <row r="84" ht="15.75" customHeight="1">
      <c r="A84" s="99"/>
      <c r="B84" s="44"/>
      <c r="C84" s="100" t="str">
        <f>IF(OR(A84="",B84=""),"",IF(B84="USD",$C$6,$C$7)+SUMIFS('Caja Efectivo'!$J$6:$J$1005,'Caja Efectivo'!$I$6:$I$1005,B84,'Caja Efectivo'!$C$6:$C$1005,"Entrada",'Caja Efectivo'!$A$6:$A$1005,"&lt;="&amp;A84)-SUMIFS('Caja Efectivo'!$J$6:$J$1005,'Caja Efectivo'!$I$6:$I$1005,B84,'Caja Efectivo'!$C$6:$C$1005,"Salida",'Caja Efectivo'!$A$6:$A$1005,"&lt;="&amp;A84))</f>
        <v/>
      </c>
      <c r="D84" s="47"/>
      <c r="E84" s="100" t="str">
        <f t="shared" si="18"/>
        <v/>
      </c>
      <c r="F84" s="44"/>
      <c r="G84" s="44"/>
      <c r="H84" s="44"/>
      <c r="I84" s="44"/>
    </row>
    <row r="85" ht="15.75" customHeight="1">
      <c r="A85" s="99"/>
      <c r="B85" s="44"/>
      <c r="C85" s="100" t="str">
        <f>IF(OR(A85="",B85=""),"",IF(B85="USD",$C$6,$C$7)+SUMIFS('Caja Efectivo'!$J$6:$J$1005,'Caja Efectivo'!$I$6:$I$1005,B85,'Caja Efectivo'!$C$6:$C$1005,"Entrada",'Caja Efectivo'!$A$6:$A$1005,"&lt;="&amp;A85)-SUMIFS('Caja Efectivo'!$J$6:$J$1005,'Caja Efectivo'!$I$6:$I$1005,B85,'Caja Efectivo'!$C$6:$C$1005,"Salida",'Caja Efectivo'!$A$6:$A$1005,"&lt;="&amp;A85))</f>
        <v/>
      </c>
      <c r="D85" s="47"/>
      <c r="E85" s="100" t="str">
        <f t="shared" si="18"/>
        <v/>
      </c>
      <c r="F85" s="44"/>
      <c r="G85" s="44"/>
      <c r="H85" s="44"/>
      <c r="I85" s="44"/>
    </row>
    <row r="86" ht="15.75" customHeight="1">
      <c r="A86" s="99"/>
      <c r="B86" s="44"/>
      <c r="C86" s="100" t="str">
        <f>IF(OR(A86="",B86=""),"",IF(B86="USD",$C$6,$C$7)+SUMIFS('Caja Efectivo'!$J$6:$J$1005,'Caja Efectivo'!$I$6:$I$1005,B86,'Caja Efectivo'!$C$6:$C$1005,"Entrada",'Caja Efectivo'!$A$6:$A$1005,"&lt;="&amp;A86)-SUMIFS('Caja Efectivo'!$J$6:$J$1005,'Caja Efectivo'!$I$6:$I$1005,B86,'Caja Efectivo'!$C$6:$C$1005,"Salida",'Caja Efectivo'!$A$6:$A$1005,"&lt;="&amp;A86))</f>
        <v/>
      </c>
      <c r="D86" s="47"/>
      <c r="E86" s="100" t="str">
        <f t="shared" si="18"/>
        <v/>
      </c>
      <c r="F86" s="44"/>
      <c r="G86" s="44"/>
      <c r="H86" s="44"/>
      <c r="I86" s="44"/>
    </row>
    <row r="87" ht="15.75" customHeight="1">
      <c r="A87" s="99"/>
      <c r="B87" s="44"/>
      <c r="C87" s="100" t="str">
        <f>IF(OR(A87="",B87=""),"",IF(B87="USD",$C$6,$C$7)+SUMIFS('Caja Efectivo'!$J$6:$J$1005,'Caja Efectivo'!$I$6:$I$1005,B87,'Caja Efectivo'!$C$6:$C$1005,"Entrada",'Caja Efectivo'!$A$6:$A$1005,"&lt;="&amp;A87)-SUMIFS('Caja Efectivo'!$J$6:$J$1005,'Caja Efectivo'!$I$6:$I$1005,B87,'Caja Efectivo'!$C$6:$C$1005,"Salida",'Caja Efectivo'!$A$6:$A$1005,"&lt;="&amp;A87))</f>
        <v/>
      </c>
      <c r="D87" s="47"/>
      <c r="E87" s="100" t="str">
        <f t="shared" si="18"/>
        <v/>
      </c>
      <c r="F87" s="44"/>
      <c r="G87" s="44"/>
      <c r="H87" s="44"/>
      <c r="I87" s="44"/>
    </row>
    <row r="88" ht="15.75" customHeight="1">
      <c r="A88" s="99"/>
      <c r="B88" s="44"/>
      <c r="C88" s="100" t="str">
        <f>IF(OR(A88="",B88=""),"",IF(B88="USD",$C$6,$C$7)+SUMIFS('Caja Efectivo'!$J$6:$J$1005,'Caja Efectivo'!$I$6:$I$1005,B88,'Caja Efectivo'!$C$6:$C$1005,"Entrada",'Caja Efectivo'!$A$6:$A$1005,"&lt;="&amp;A88)-SUMIFS('Caja Efectivo'!$J$6:$J$1005,'Caja Efectivo'!$I$6:$I$1005,B88,'Caja Efectivo'!$C$6:$C$1005,"Salida",'Caja Efectivo'!$A$6:$A$1005,"&lt;="&amp;A88))</f>
        <v/>
      </c>
      <c r="D88" s="47"/>
      <c r="E88" s="100" t="str">
        <f t="shared" si="18"/>
        <v/>
      </c>
      <c r="F88" s="44"/>
      <c r="G88" s="44"/>
      <c r="H88" s="44"/>
      <c r="I88" s="44"/>
    </row>
    <row r="89" ht="15.75" customHeight="1">
      <c r="A89" s="99"/>
      <c r="B89" s="44"/>
      <c r="C89" s="100" t="str">
        <f>IF(OR(A89="",B89=""),"",IF(B89="USD",$C$6,$C$7)+SUMIFS('Caja Efectivo'!$J$6:$J$1005,'Caja Efectivo'!$I$6:$I$1005,B89,'Caja Efectivo'!$C$6:$C$1005,"Entrada",'Caja Efectivo'!$A$6:$A$1005,"&lt;="&amp;A89)-SUMIFS('Caja Efectivo'!$J$6:$J$1005,'Caja Efectivo'!$I$6:$I$1005,B89,'Caja Efectivo'!$C$6:$C$1005,"Salida",'Caja Efectivo'!$A$6:$A$1005,"&lt;="&amp;A89))</f>
        <v/>
      </c>
      <c r="D89" s="47"/>
      <c r="E89" s="100" t="str">
        <f t="shared" si="18"/>
        <v/>
      </c>
      <c r="F89" s="44"/>
      <c r="G89" s="44"/>
      <c r="H89" s="44"/>
      <c r="I89" s="44"/>
    </row>
    <row r="90" ht="15.75" customHeight="1">
      <c r="A90" s="99"/>
      <c r="B90" s="44"/>
      <c r="C90" s="100" t="str">
        <f>IF(OR(A90="",B90=""),"",IF(B90="USD",$C$6,$C$7)+SUMIFS('Caja Efectivo'!$J$6:$J$1005,'Caja Efectivo'!$I$6:$I$1005,B90,'Caja Efectivo'!$C$6:$C$1005,"Entrada",'Caja Efectivo'!$A$6:$A$1005,"&lt;="&amp;A90)-SUMIFS('Caja Efectivo'!$J$6:$J$1005,'Caja Efectivo'!$I$6:$I$1005,B90,'Caja Efectivo'!$C$6:$C$1005,"Salida",'Caja Efectivo'!$A$6:$A$1005,"&lt;="&amp;A90))</f>
        <v/>
      </c>
      <c r="D90" s="47"/>
      <c r="E90" s="100" t="str">
        <f t="shared" si="18"/>
        <v/>
      </c>
      <c r="F90" s="44"/>
      <c r="G90" s="44"/>
      <c r="H90" s="44"/>
      <c r="I90" s="44"/>
    </row>
    <row r="91" ht="15.75" customHeight="1">
      <c r="A91" s="99"/>
      <c r="B91" s="44"/>
      <c r="C91" s="100" t="str">
        <f>IF(OR(A91="",B91=""),"",IF(B91="USD",$C$6,$C$7)+SUMIFS('Caja Efectivo'!$J$6:$J$1005,'Caja Efectivo'!$I$6:$I$1005,B91,'Caja Efectivo'!$C$6:$C$1005,"Entrada",'Caja Efectivo'!$A$6:$A$1005,"&lt;="&amp;A91)-SUMIFS('Caja Efectivo'!$J$6:$J$1005,'Caja Efectivo'!$I$6:$I$1005,B91,'Caja Efectivo'!$C$6:$C$1005,"Salida",'Caja Efectivo'!$A$6:$A$1005,"&lt;="&amp;A91))</f>
        <v/>
      </c>
      <c r="D91" s="47"/>
      <c r="E91" s="100" t="str">
        <f t="shared" si="18"/>
        <v/>
      </c>
      <c r="F91" s="44"/>
      <c r="G91" s="44"/>
      <c r="H91" s="44"/>
      <c r="I91" s="44"/>
    </row>
    <row r="92" ht="15.75" customHeight="1">
      <c r="A92" s="99"/>
      <c r="B92" s="44"/>
      <c r="C92" s="100" t="str">
        <f>IF(OR(A92="",B92=""),"",IF(B92="USD",$C$6,$C$7)+SUMIFS('Caja Efectivo'!$J$6:$J$1005,'Caja Efectivo'!$I$6:$I$1005,B92,'Caja Efectivo'!$C$6:$C$1005,"Entrada",'Caja Efectivo'!$A$6:$A$1005,"&lt;="&amp;A92)-SUMIFS('Caja Efectivo'!$J$6:$J$1005,'Caja Efectivo'!$I$6:$I$1005,B92,'Caja Efectivo'!$C$6:$C$1005,"Salida",'Caja Efectivo'!$A$6:$A$1005,"&lt;="&amp;A92))</f>
        <v/>
      </c>
      <c r="D92" s="47"/>
      <c r="E92" s="100" t="str">
        <f t="shared" si="18"/>
        <v/>
      </c>
      <c r="F92" s="44"/>
      <c r="G92" s="44"/>
      <c r="H92" s="44"/>
      <c r="I92" s="44"/>
    </row>
    <row r="93" ht="15.75" customHeight="1">
      <c r="A93" s="99"/>
      <c r="B93" s="44"/>
      <c r="C93" s="100" t="str">
        <f>IF(OR(A93="",B93=""),"",IF(B93="USD",$C$6,$C$7)+SUMIFS('Caja Efectivo'!$J$6:$J$1005,'Caja Efectivo'!$I$6:$I$1005,B93,'Caja Efectivo'!$C$6:$C$1005,"Entrada",'Caja Efectivo'!$A$6:$A$1005,"&lt;="&amp;A93)-SUMIFS('Caja Efectivo'!$J$6:$J$1005,'Caja Efectivo'!$I$6:$I$1005,B93,'Caja Efectivo'!$C$6:$C$1005,"Salida",'Caja Efectivo'!$A$6:$A$1005,"&lt;="&amp;A93))</f>
        <v/>
      </c>
      <c r="D93" s="47"/>
      <c r="E93" s="100" t="str">
        <f t="shared" si="18"/>
        <v/>
      </c>
      <c r="F93" s="44"/>
      <c r="G93" s="44"/>
      <c r="H93" s="44"/>
      <c r="I93" s="44"/>
    </row>
    <row r="94" ht="15.75" customHeight="1">
      <c r="A94" s="99"/>
      <c r="B94" s="44"/>
      <c r="C94" s="100" t="str">
        <f>IF(OR(A94="",B94=""),"",IF(B94="USD",$C$6,$C$7)+SUMIFS('Caja Efectivo'!$J$6:$J$1005,'Caja Efectivo'!$I$6:$I$1005,B94,'Caja Efectivo'!$C$6:$C$1005,"Entrada",'Caja Efectivo'!$A$6:$A$1005,"&lt;="&amp;A94)-SUMIFS('Caja Efectivo'!$J$6:$J$1005,'Caja Efectivo'!$I$6:$I$1005,B94,'Caja Efectivo'!$C$6:$C$1005,"Salida",'Caja Efectivo'!$A$6:$A$1005,"&lt;="&amp;A94))</f>
        <v/>
      </c>
      <c r="D94" s="47"/>
      <c r="E94" s="100" t="str">
        <f t="shared" si="18"/>
        <v/>
      </c>
      <c r="F94" s="44"/>
      <c r="G94" s="44"/>
      <c r="H94" s="44"/>
      <c r="I94" s="44"/>
    </row>
    <row r="95" ht="15.75" customHeight="1">
      <c r="A95" s="99"/>
      <c r="B95" s="44"/>
      <c r="C95" s="100" t="str">
        <f>IF(OR(A95="",B95=""),"",IF(B95="USD",$C$6,$C$7)+SUMIFS('Caja Efectivo'!$J$6:$J$1005,'Caja Efectivo'!$I$6:$I$1005,B95,'Caja Efectivo'!$C$6:$C$1005,"Entrada",'Caja Efectivo'!$A$6:$A$1005,"&lt;="&amp;A95)-SUMIFS('Caja Efectivo'!$J$6:$J$1005,'Caja Efectivo'!$I$6:$I$1005,B95,'Caja Efectivo'!$C$6:$C$1005,"Salida",'Caja Efectivo'!$A$6:$A$1005,"&lt;="&amp;A95))</f>
        <v/>
      </c>
      <c r="D95" s="47"/>
      <c r="E95" s="100" t="str">
        <f t="shared" si="18"/>
        <v/>
      </c>
      <c r="F95" s="44"/>
      <c r="G95" s="44"/>
      <c r="H95" s="44"/>
      <c r="I95" s="44"/>
    </row>
    <row r="96" ht="15.75" customHeight="1">
      <c r="A96" s="99"/>
      <c r="B96" s="44"/>
      <c r="C96" s="100" t="str">
        <f>IF(OR(A96="",B96=""),"",IF(B96="USD",$C$6,$C$7)+SUMIFS('Caja Efectivo'!$J$6:$J$1005,'Caja Efectivo'!$I$6:$I$1005,B96,'Caja Efectivo'!$C$6:$C$1005,"Entrada",'Caja Efectivo'!$A$6:$A$1005,"&lt;="&amp;A96)-SUMIFS('Caja Efectivo'!$J$6:$J$1005,'Caja Efectivo'!$I$6:$I$1005,B96,'Caja Efectivo'!$C$6:$C$1005,"Salida",'Caja Efectivo'!$A$6:$A$1005,"&lt;="&amp;A96))</f>
        <v/>
      </c>
      <c r="D96" s="47"/>
      <c r="E96" s="100" t="str">
        <f t="shared" si="18"/>
        <v/>
      </c>
      <c r="F96" s="44"/>
      <c r="G96" s="44"/>
      <c r="H96" s="44"/>
      <c r="I96" s="44"/>
    </row>
    <row r="97" ht="15.75" customHeight="1">
      <c r="A97" s="99"/>
      <c r="B97" s="44"/>
      <c r="C97" s="100" t="str">
        <f>IF(OR(A97="",B97=""),"",IF(B97="USD",$C$6,$C$7)+SUMIFS('Caja Efectivo'!$J$6:$J$1005,'Caja Efectivo'!$I$6:$I$1005,B97,'Caja Efectivo'!$C$6:$C$1005,"Entrada",'Caja Efectivo'!$A$6:$A$1005,"&lt;="&amp;A97)-SUMIFS('Caja Efectivo'!$J$6:$J$1005,'Caja Efectivo'!$I$6:$I$1005,B97,'Caja Efectivo'!$C$6:$C$1005,"Salida",'Caja Efectivo'!$A$6:$A$1005,"&lt;="&amp;A97))</f>
        <v/>
      </c>
      <c r="D97" s="47"/>
      <c r="E97" s="100" t="str">
        <f t="shared" si="18"/>
        <v/>
      </c>
      <c r="F97" s="44"/>
      <c r="G97" s="44"/>
      <c r="H97" s="44"/>
      <c r="I97" s="44"/>
    </row>
    <row r="98" ht="15.75" customHeight="1">
      <c r="A98" s="99"/>
      <c r="B98" s="44"/>
      <c r="C98" s="100" t="str">
        <f>IF(OR(A98="",B98=""),"",IF(B98="USD",$C$6,$C$7)+SUMIFS('Caja Efectivo'!$J$6:$J$1005,'Caja Efectivo'!$I$6:$I$1005,B98,'Caja Efectivo'!$C$6:$C$1005,"Entrada",'Caja Efectivo'!$A$6:$A$1005,"&lt;="&amp;A98)-SUMIFS('Caja Efectivo'!$J$6:$J$1005,'Caja Efectivo'!$I$6:$I$1005,B98,'Caja Efectivo'!$C$6:$C$1005,"Salida",'Caja Efectivo'!$A$6:$A$1005,"&lt;="&amp;A98))</f>
        <v/>
      </c>
      <c r="D98" s="47"/>
      <c r="E98" s="100" t="str">
        <f t="shared" si="18"/>
        <v/>
      </c>
      <c r="F98" s="44"/>
      <c r="G98" s="44"/>
      <c r="H98" s="44"/>
      <c r="I98" s="44"/>
    </row>
    <row r="99" ht="15.75" customHeight="1">
      <c r="A99" s="99"/>
      <c r="B99" s="44"/>
      <c r="C99" s="100" t="str">
        <f>IF(OR(A99="",B99=""),"",IF(B99="USD",$C$6,$C$7)+SUMIFS('Caja Efectivo'!$J$6:$J$1005,'Caja Efectivo'!$I$6:$I$1005,B99,'Caja Efectivo'!$C$6:$C$1005,"Entrada",'Caja Efectivo'!$A$6:$A$1005,"&lt;="&amp;A99)-SUMIFS('Caja Efectivo'!$J$6:$J$1005,'Caja Efectivo'!$I$6:$I$1005,B99,'Caja Efectivo'!$C$6:$C$1005,"Salida",'Caja Efectivo'!$A$6:$A$1005,"&lt;="&amp;A99))</f>
        <v/>
      </c>
      <c r="D99" s="47"/>
      <c r="E99" s="100" t="str">
        <f t="shared" si="18"/>
        <v/>
      </c>
      <c r="F99" s="44"/>
      <c r="G99" s="44"/>
      <c r="H99" s="44"/>
      <c r="I99" s="44"/>
    </row>
    <row r="100" ht="15.75" customHeight="1">
      <c r="A100" s="99"/>
      <c r="B100" s="44"/>
      <c r="C100" s="100" t="str">
        <f>IF(OR(A100="",B100=""),"",IF(B100="USD",$C$6,$C$7)+SUMIFS('Caja Efectivo'!$J$6:$J$1005,'Caja Efectivo'!$I$6:$I$1005,B100,'Caja Efectivo'!$C$6:$C$1005,"Entrada",'Caja Efectivo'!$A$6:$A$1005,"&lt;="&amp;A100)-SUMIFS('Caja Efectivo'!$J$6:$J$1005,'Caja Efectivo'!$I$6:$I$1005,B100,'Caja Efectivo'!$C$6:$C$1005,"Salida",'Caja Efectivo'!$A$6:$A$1005,"&lt;="&amp;A100))</f>
        <v/>
      </c>
      <c r="D100" s="47"/>
      <c r="E100" s="100" t="str">
        <f t="shared" si="18"/>
        <v/>
      </c>
      <c r="F100" s="44"/>
      <c r="G100" s="44"/>
      <c r="H100" s="44"/>
      <c r="I100" s="44"/>
    </row>
    <row r="101" ht="15.75" customHeight="1">
      <c r="A101" s="99"/>
      <c r="B101" s="44"/>
      <c r="C101" s="100" t="str">
        <f>IF(OR(A101="",B101=""),"",IF(B101="USD",$C$6,$C$7)+SUMIFS('Caja Efectivo'!$J$6:$J$1005,'Caja Efectivo'!$I$6:$I$1005,B101,'Caja Efectivo'!$C$6:$C$1005,"Entrada",'Caja Efectivo'!$A$6:$A$1005,"&lt;="&amp;A101)-SUMIFS('Caja Efectivo'!$J$6:$J$1005,'Caja Efectivo'!$I$6:$I$1005,B101,'Caja Efectivo'!$C$6:$C$1005,"Salida",'Caja Efectivo'!$A$6:$A$1005,"&lt;="&amp;A101))</f>
        <v/>
      </c>
      <c r="D101" s="47"/>
      <c r="E101" s="100" t="str">
        <f t="shared" si="18"/>
        <v/>
      </c>
      <c r="F101" s="44"/>
      <c r="G101" s="44"/>
      <c r="H101" s="44"/>
      <c r="I101" s="44"/>
    </row>
    <row r="102" ht="15.75" customHeight="1">
      <c r="A102" s="99"/>
      <c r="B102" s="44"/>
      <c r="C102" s="100" t="str">
        <f>IF(OR(A102="",B102=""),"",IF(B102="USD",$C$6,$C$7)+SUMIFS('Caja Efectivo'!$J$6:$J$1005,'Caja Efectivo'!$I$6:$I$1005,B102,'Caja Efectivo'!$C$6:$C$1005,"Entrada",'Caja Efectivo'!$A$6:$A$1005,"&lt;="&amp;A102)-SUMIFS('Caja Efectivo'!$J$6:$J$1005,'Caja Efectivo'!$I$6:$I$1005,B102,'Caja Efectivo'!$C$6:$C$1005,"Salida",'Caja Efectivo'!$A$6:$A$1005,"&lt;="&amp;A102))</f>
        <v/>
      </c>
      <c r="D102" s="47"/>
      <c r="E102" s="100" t="str">
        <f t="shared" si="18"/>
        <v/>
      </c>
      <c r="F102" s="44"/>
      <c r="G102" s="44"/>
      <c r="H102" s="44"/>
      <c r="I102" s="44"/>
    </row>
    <row r="103" ht="15.75" customHeight="1">
      <c r="A103" s="99"/>
      <c r="B103" s="44"/>
      <c r="C103" s="100" t="str">
        <f>IF(OR(A103="",B103=""),"",IF(B103="USD",$C$6,$C$7)+SUMIFS('Caja Efectivo'!$J$6:$J$1005,'Caja Efectivo'!$I$6:$I$1005,B103,'Caja Efectivo'!$C$6:$C$1005,"Entrada",'Caja Efectivo'!$A$6:$A$1005,"&lt;="&amp;A103)-SUMIFS('Caja Efectivo'!$J$6:$J$1005,'Caja Efectivo'!$I$6:$I$1005,B103,'Caja Efectivo'!$C$6:$C$1005,"Salida",'Caja Efectivo'!$A$6:$A$1005,"&lt;="&amp;A103))</f>
        <v/>
      </c>
      <c r="D103" s="47"/>
      <c r="E103" s="100" t="str">
        <f t="shared" si="18"/>
        <v/>
      </c>
      <c r="F103" s="44"/>
      <c r="G103" s="44"/>
      <c r="H103" s="44"/>
      <c r="I103" s="44"/>
    </row>
    <row r="104" ht="15.75" customHeight="1">
      <c r="A104" s="99"/>
      <c r="B104" s="44"/>
      <c r="C104" s="100" t="str">
        <f>IF(OR(A104="",B104=""),"",IF(B104="USD",$C$6,$C$7)+SUMIFS('Caja Efectivo'!$J$6:$J$1005,'Caja Efectivo'!$I$6:$I$1005,B104,'Caja Efectivo'!$C$6:$C$1005,"Entrada",'Caja Efectivo'!$A$6:$A$1005,"&lt;="&amp;A104)-SUMIFS('Caja Efectivo'!$J$6:$J$1005,'Caja Efectivo'!$I$6:$I$1005,B104,'Caja Efectivo'!$C$6:$C$1005,"Salida",'Caja Efectivo'!$A$6:$A$1005,"&lt;="&amp;A104))</f>
        <v/>
      </c>
      <c r="D104" s="47"/>
      <c r="E104" s="100" t="str">
        <f t="shared" si="18"/>
        <v/>
      </c>
      <c r="F104" s="44"/>
      <c r="G104" s="44"/>
      <c r="H104" s="44"/>
      <c r="I104" s="44"/>
    </row>
    <row r="105" ht="15.75" customHeight="1">
      <c r="A105" s="99"/>
      <c r="B105" s="44"/>
      <c r="C105" s="100" t="str">
        <f>IF(OR(A105="",B105=""),"",IF(B105="USD",$C$6,$C$7)+SUMIFS('Caja Efectivo'!$J$6:$J$1005,'Caja Efectivo'!$I$6:$I$1005,B105,'Caja Efectivo'!$C$6:$C$1005,"Entrada",'Caja Efectivo'!$A$6:$A$1005,"&lt;="&amp;A105)-SUMIFS('Caja Efectivo'!$J$6:$J$1005,'Caja Efectivo'!$I$6:$I$1005,B105,'Caja Efectivo'!$C$6:$C$1005,"Salida",'Caja Efectivo'!$A$6:$A$1005,"&lt;="&amp;A105))</f>
        <v/>
      </c>
      <c r="D105" s="47"/>
      <c r="E105" s="100" t="str">
        <f t="shared" si="18"/>
        <v/>
      </c>
      <c r="F105" s="44"/>
      <c r="G105" s="44"/>
      <c r="H105" s="44"/>
      <c r="I105" s="44"/>
    </row>
    <row r="106" ht="15.75" customHeight="1">
      <c r="A106" s="99"/>
      <c r="B106" s="44"/>
      <c r="C106" s="100" t="str">
        <f>IF(OR(A106="",B106=""),"",IF(B106="USD",$C$6,$C$7)+SUMIFS('Caja Efectivo'!$J$6:$J$1005,'Caja Efectivo'!$I$6:$I$1005,B106,'Caja Efectivo'!$C$6:$C$1005,"Entrada",'Caja Efectivo'!$A$6:$A$1005,"&lt;="&amp;A106)-SUMIFS('Caja Efectivo'!$J$6:$J$1005,'Caja Efectivo'!$I$6:$I$1005,B106,'Caja Efectivo'!$C$6:$C$1005,"Salida",'Caja Efectivo'!$A$6:$A$1005,"&lt;="&amp;A106))</f>
        <v/>
      </c>
      <c r="D106" s="47"/>
      <c r="E106" s="100" t="str">
        <f t="shared" si="18"/>
        <v/>
      </c>
      <c r="F106" s="44"/>
      <c r="G106" s="44"/>
      <c r="H106" s="44"/>
      <c r="I106" s="44"/>
    </row>
    <row r="107" ht="15.75" customHeight="1">
      <c r="A107" s="99"/>
      <c r="B107" s="44"/>
      <c r="C107" s="100" t="str">
        <f>IF(OR(A107="",B107=""),"",IF(B107="USD",$C$6,$C$7)+SUMIFS('Caja Efectivo'!$J$6:$J$1005,'Caja Efectivo'!$I$6:$I$1005,B107,'Caja Efectivo'!$C$6:$C$1005,"Entrada",'Caja Efectivo'!$A$6:$A$1005,"&lt;="&amp;A107)-SUMIFS('Caja Efectivo'!$J$6:$J$1005,'Caja Efectivo'!$I$6:$I$1005,B107,'Caja Efectivo'!$C$6:$C$1005,"Salida",'Caja Efectivo'!$A$6:$A$1005,"&lt;="&amp;A107))</f>
        <v/>
      </c>
      <c r="D107" s="47"/>
      <c r="E107" s="100" t="str">
        <f t="shared" si="18"/>
        <v/>
      </c>
      <c r="F107" s="44"/>
      <c r="G107" s="44"/>
      <c r="H107" s="44"/>
      <c r="I107" s="44"/>
    </row>
    <row r="108" ht="15.75" customHeight="1">
      <c r="A108" s="99"/>
      <c r="B108" s="44"/>
      <c r="C108" s="100" t="str">
        <f>IF(OR(A108="",B108=""),"",IF(B108="USD",$C$6,$C$7)+SUMIFS('Caja Efectivo'!$J$6:$J$1005,'Caja Efectivo'!$I$6:$I$1005,B108,'Caja Efectivo'!$C$6:$C$1005,"Entrada",'Caja Efectivo'!$A$6:$A$1005,"&lt;="&amp;A108)-SUMIFS('Caja Efectivo'!$J$6:$J$1005,'Caja Efectivo'!$I$6:$I$1005,B108,'Caja Efectivo'!$C$6:$C$1005,"Salida",'Caja Efectivo'!$A$6:$A$1005,"&lt;="&amp;A108))</f>
        <v/>
      </c>
      <c r="D108" s="47"/>
      <c r="E108" s="100" t="str">
        <f t="shared" si="18"/>
        <v/>
      </c>
      <c r="F108" s="44"/>
      <c r="G108" s="44"/>
      <c r="H108" s="44"/>
      <c r="I108" s="44"/>
    </row>
    <row r="109" ht="15.75" customHeight="1">
      <c r="A109" s="99"/>
      <c r="B109" s="44"/>
      <c r="C109" s="100" t="str">
        <f>IF(OR(A109="",B109=""),"",IF(B109="USD",$C$6,$C$7)+SUMIFS('Caja Efectivo'!$J$6:$J$1005,'Caja Efectivo'!$I$6:$I$1005,B109,'Caja Efectivo'!$C$6:$C$1005,"Entrada",'Caja Efectivo'!$A$6:$A$1005,"&lt;="&amp;A109)-SUMIFS('Caja Efectivo'!$J$6:$J$1005,'Caja Efectivo'!$I$6:$I$1005,B109,'Caja Efectivo'!$C$6:$C$1005,"Salida",'Caja Efectivo'!$A$6:$A$1005,"&lt;="&amp;A109))</f>
        <v/>
      </c>
      <c r="D109" s="47"/>
      <c r="E109" s="100" t="str">
        <f t="shared" si="18"/>
        <v/>
      </c>
      <c r="F109" s="44"/>
      <c r="G109" s="44"/>
      <c r="H109" s="44"/>
      <c r="I109" s="44"/>
    </row>
    <row r="110" ht="15.75" customHeight="1">
      <c r="A110" s="99"/>
      <c r="B110" s="44"/>
      <c r="C110" s="100" t="str">
        <f>IF(OR(A110="",B110=""),"",IF(B110="USD",$C$6,$C$7)+SUMIFS('Caja Efectivo'!$J$6:$J$1005,'Caja Efectivo'!$I$6:$I$1005,B110,'Caja Efectivo'!$C$6:$C$1005,"Entrada",'Caja Efectivo'!$A$6:$A$1005,"&lt;="&amp;A110)-SUMIFS('Caja Efectivo'!$J$6:$J$1005,'Caja Efectivo'!$I$6:$I$1005,B110,'Caja Efectivo'!$C$6:$C$1005,"Salida",'Caja Efectivo'!$A$6:$A$1005,"&lt;="&amp;A110))</f>
        <v/>
      </c>
      <c r="D110" s="47"/>
      <c r="E110" s="100" t="str">
        <f t="shared" si="18"/>
        <v/>
      </c>
      <c r="F110" s="44"/>
      <c r="G110" s="44"/>
      <c r="H110" s="44"/>
      <c r="I110" s="44"/>
    </row>
    <row r="111" ht="15.75" customHeight="1">
      <c r="A111" s="99"/>
      <c r="B111" s="44"/>
      <c r="C111" s="100" t="str">
        <f>IF(OR(A111="",B111=""),"",IF(B111="USD",$C$6,$C$7)+SUMIFS('Caja Efectivo'!$J$6:$J$1005,'Caja Efectivo'!$I$6:$I$1005,B111,'Caja Efectivo'!$C$6:$C$1005,"Entrada",'Caja Efectivo'!$A$6:$A$1005,"&lt;="&amp;A111)-SUMIFS('Caja Efectivo'!$J$6:$J$1005,'Caja Efectivo'!$I$6:$I$1005,B111,'Caja Efectivo'!$C$6:$C$1005,"Salida",'Caja Efectivo'!$A$6:$A$1005,"&lt;="&amp;A111))</f>
        <v/>
      </c>
      <c r="D111" s="47"/>
      <c r="E111" s="100" t="str">
        <f t="shared" si="18"/>
        <v/>
      </c>
      <c r="F111" s="44"/>
      <c r="G111" s="44"/>
      <c r="H111" s="44"/>
      <c r="I111" s="44"/>
    </row>
    <row r="112" ht="15.75" customHeight="1">
      <c r="A112" s="99"/>
      <c r="B112" s="44"/>
      <c r="C112" s="100" t="str">
        <f>IF(OR(A112="",B112=""),"",IF(B112="USD",$C$6,$C$7)+SUMIFS('Caja Efectivo'!$J$6:$J$1005,'Caja Efectivo'!$I$6:$I$1005,B112,'Caja Efectivo'!$C$6:$C$1005,"Entrada",'Caja Efectivo'!$A$6:$A$1005,"&lt;="&amp;A112)-SUMIFS('Caja Efectivo'!$J$6:$J$1005,'Caja Efectivo'!$I$6:$I$1005,B112,'Caja Efectivo'!$C$6:$C$1005,"Salida",'Caja Efectivo'!$A$6:$A$1005,"&lt;="&amp;A112))</f>
        <v/>
      </c>
      <c r="D112" s="47"/>
      <c r="E112" s="100" t="str">
        <f t="shared" si="18"/>
        <v/>
      </c>
      <c r="F112" s="44"/>
      <c r="G112" s="44"/>
      <c r="H112" s="44"/>
      <c r="I112" s="44"/>
    </row>
    <row r="113" ht="15.75" customHeight="1">
      <c r="A113" s="99"/>
      <c r="B113" s="44"/>
      <c r="C113" s="100" t="str">
        <f>IF(OR(A113="",B113=""),"",IF(B113="USD",$C$6,$C$7)+SUMIFS('Caja Efectivo'!$J$6:$J$1005,'Caja Efectivo'!$I$6:$I$1005,B113,'Caja Efectivo'!$C$6:$C$1005,"Entrada",'Caja Efectivo'!$A$6:$A$1005,"&lt;="&amp;A113)-SUMIFS('Caja Efectivo'!$J$6:$J$1005,'Caja Efectivo'!$I$6:$I$1005,B113,'Caja Efectivo'!$C$6:$C$1005,"Salida",'Caja Efectivo'!$A$6:$A$1005,"&lt;="&amp;A113))</f>
        <v/>
      </c>
      <c r="D113" s="47"/>
      <c r="E113" s="100" t="str">
        <f t="shared" si="18"/>
        <v/>
      </c>
      <c r="F113" s="44"/>
      <c r="G113" s="44"/>
      <c r="H113" s="44"/>
      <c r="I113" s="44"/>
    </row>
    <row r="114" ht="15.75" customHeight="1">
      <c r="A114" s="99"/>
      <c r="B114" s="44"/>
      <c r="C114" s="100" t="str">
        <f>IF(OR(A114="",B114=""),"",IF(B114="USD",$C$6,$C$7)+SUMIFS('Caja Efectivo'!$J$6:$J$1005,'Caja Efectivo'!$I$6:$I$1005,B114,'Caja Efectivo'!$C$6:$C$1005,"Entrada",'Caja Efectivo'!$A$6:$A$1005,"&lt;="&amp;A114)-SUMIFS('Caja Efectivo'!$J$6:$J$1005,'Caja Efectivo'!$I$6:$I$1005,B114,'Caja Efectivo'!$C$6:$C$1005,"Salida",'Caja Efectivo'!$A$6:$A$1005,"&lt;="&amp;A114))</f>
        <v/>
      </c>
      <c r="D114" s="47"/>
      <c r="E114" s="100" t="str">
        <f t="shared" si="18"/>
        <v/>
      </c>
      <c r="F114" s="44"/>
      <c r="G114" s="44"/>
      <c r="H114" s="44"/>
      <c r="I114" s="44"/>
    </row>
    <row r="115" ht="15.75" customHeight="1">
      <c r="A115" s="99"/>
      <c r="B115" s="44"/>
      <c r="C115" s="100" t="str">
        <f>IF(OR(A115="",B115=""),"",IF(B115="USD",$C$6,$C$7)+SUMIFS('Caja Efectivo'!$J$6:$J$1005,'Caja Efectivo'!$I$6:$I$1005,B115,'Caja Efectivo'!$C$6:$C$1005,"Entrada",'Caja Efectivo'!$A$6:$A$1005,"&lt;="&amp;A115)-SUMIFS('Caja Efectivo'!$J$6:$J$1005,'Caja Efectivo'!$I$6:$I$1005,B115,'Caja Efectivo'!$C$6:$C$1005,"Salida",'Caja Efectivo'!$A$6:$A$1005,"&lt;="&amp;A115))</f>
        <v/>
      </c>
      <c r="D115" s="47"/>
      <c r="E115" s="100" t="str">
        <f t="shared" si="18"/>
        <v/>
      </c>
      <c r="F115" s="44"/>
      <c r="G115" s="44"/>
      <c r="H115" s="44"/>
      <c r="I115" s="44"/>
    </row>
    <row r="116" ht="15.75" customHeight="1">
      <c r="A116" s="99"/>
      <c r="B116" s="44"/>
      <c r="C116" s="100" t="str">
        <f>IF(OR(A116="",B116=""),"",IF(B116="USD",$C$6,$C$7)+SUMIFS('Caja Efectivo'!$J$6:$J$1005,'Caja Efectivo'!$I$6:$I$1005,B116,'Caja Efectivo'!$C$6:$C$1005,"Entrada",'Caja Efectivo'!$A$6:$A$1005,"&lt;="&amp;A116)-SUMIFS('Caja Efectivo'!$J$6:$J$1005,'Caja Efectivo'!$I$6:$I$1005,B116,'Caja Efectivo'!$C$6:$C$1005,"Salida",'Caja Efectivo'!$A$6:$A$1005,"&lt;="&amp;A116))</f>
        <v/>
      </c>
      <c r="D116" s="47"/>
      <c r="E116" s="100" t="str">
        <f t="shared" si="18"/>
        <v/>
      </c>
      <c r="F116" s="44"/>
      <c r="G116" s="44"/>
      <c r="H116" s="44"/>
      <c r="I116" s="44"/>
    </row>
    <row r="117" ht="15.75" customHeight="1">
      <c r="A117" s="99"/>
      <c r="B117" s="44"/>
      <c r="C117" s="100" t="str">
        <f>IF(OR(A117="",B117=""),"",IF(B117="USD",$C$6,$C$7)+SUMIFS('Caja Efectivo'!$J$6:$J$1005,'Caja Efectivo'!$I$6:$I$1005,B117,'Caja Efectivo'!$C$6:$C$1005,"Entrada",'Caja Efectivo'!$A$6:$A$1005,"&lt;="&amp;A117)-SUMIFS('Caja Efectivo'!$J$6:$J$1005,'Caja Efectivo'!$I$6:$I$1005,B117,'Caja Efectivo'!$C$6:$C$1005,"Salida",'Caja Efectivo'!$A$6:$A$1005,"&lt;="&amp;A117))</f>
        <v/>
      </c>
      <c r="D117" s="47"/>
      <c r="E117" s="100" t="str">
        <f t="shared" si="18"/>
        <v/>
      </c>
      <c r="F117" s="44"/>
      <c r="G117" s="44"/>
      <c r="H117" s="44"/>
      <c r="I117" s="44"/>
    </row>
    <row r="118" ht="15.75" customHeight="1">
      <c r="A118" s="99"/>
      <c r="B118" s="44"/>
      <c r="C118" s="100" t="str">
        <f>IF(OR(A118="",B118=""),"",IF(B118="USD",$C$6,$C$7)+SUMIFS('Caja Efectivo'!$J$6:$J$1005,'Caja Efectivo'!$I$6:$I$1005,B118,'Caja Efectivo'!$C$6:$C$1005,"Entrada",'Caja Efectivo'!$A$6:$A$1005,"&lt;="&amp;A118)-SUMIFS('Caja Efectivo'!$J$6:$J$1005,'Caja Efectivo'!$I$6:$I$1005,B118,'Caja Efectivo'!$C$6:$C$1005,"Salida",'Caja Efectivo'!$A$6:$A$1005,"&lt;="&amp;A118))</f>
        <v/>
      </c>
      <c r="D118" s="47"/>
      <c r="E118" s="100" t="str">
        <f t="shared" si="18"/>
        <v/>
      </c>
      <c r="F118" s="44"/>
      <c r="G118" s="44"/>
      <c r="H118" s="44"/>
      <c r="I118" s="44"/>
    </row>
    <row r="119" ht="15.75" customHeight="1">
      <c r="A119" s="99"/>
      <c r="B119" s="44"/>
      <c r="C119" s="100" t="str">
        <f>IF(OR(A119="",B119=""),"",IF(B119="USD",$C$6,$C$7)+SUMIFS('Caja Efectivo'!$J$6:$J$1005,'Caja Efectivo'!$I$6:$I$1005,B119,'Caja Efectivo'!$C$6:$C$1005,"Entrada",'Caja Efectivo'!$A$6:$A$1005,"&lt;="&amp;A119)-SUMIFS('Caja Efectivo'!$J$6:$J$1005,'Caja Efectivo'!$I$6:$I$1005,B119,'Caja Efectivo'!$C$6:$C$1005,"Salida",'Caja Efectivo'!$A$6:$A$1005,"&lt;="&amp;A119))</f>
        <v/>
      </c>
      <c r="D119" s="47"/>
      <c r="E119" s="100" t="str">
        <f t="shared" si="18"/>
        <v/>
      </c>
      <c r="F119" s="44"/>
      <c r="G119" s="44"/>
      <c r="H119" s="44"/>
      <c r="I119" s="44"/>
    </row>
    <row r="120" ht="15.75" customHeight="1">
      <c r="A120" s="99"/>
      <c r="B120" s="44"/>
      <c r="C120" s="100" t="str">
        <f>IF(OR(A120="",B120=""),"",IF(B120="USD",$C$6,$C$7)+SUMIFS('Caja Efectivo'!$J$6:$J$1005,'Caja Efectivo'!$I$6:$I$1005,B120,'Caja Efectivo'!$C$6:$C$1005,"Entrada",'Caja Efectivo'!$A$6:$A$1005,"&lt;="&amp;A120)-SUMIFS('Caja Efectivo'!$J$6:$J$1005,'Caja Efectivo'!$I$6:$I$1005,B120,'Caja Efectivo'!$C$6:$C$1005,"Salida",'Caja Efectivo'!$A$6:$A$1005,"&lt;="&amp;A120))</f>
        <v/>
      </c>
      <c r="D120" s="47"/>
      <c r="E120" s="100" t="str">
        <f t="shared" si="18"/>
        <v/>
      </c>
      <c r="F120" s="44"/>
      <c r="G120" s="44"/>
      <c r="H120" s="44"/>
      <c r="I120" s="44"/>
    </row>
    <row r="121" ht="15.75" customHeight="1"/>
    <row r="122" ht="15.75" customHeight="1">
      <c r="A122" s="82" t="s">
        <v>341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2:E12">
    <cfRule type="expression" dxfId="0" priority="1">
      <formula>D12&lt;0</formula>
    </cfRule>
  </conditionalFormatting>
  <conditionalFormatting sqref="B29:E29">
    <cfRule type="expression" dxfId="0" priority="2">
      <formula>B29&lt;0</formula>
    </cfRule>
  </conditionalFormatting>
  <conditionalFormatting sqref="B28:E28">
    <cfRule type="expression" dxfId="1" priority="3">
      <formula>B28&lt;0</formula>
    </cfRule>
  </conditionalFormatting>
  <conditionalFormatting sqref="B45:E45">
    <cfRule type="expression" dxfId="0" priority="4">
      <formula>B45&lt;0</formula>
    </cfRule>
  </conditionalFormatting>
  <conditionalFormatting sqref="B44:E44">
    <cfRule type="expression" dxfId="1" priority="5">
      <formula>B44&lt;0</formula>
    </cfRule>
  </conditionalFormatting>
  <conditionalFormatting sqref="B51:E51">
    <cfRule type="expression" dxfId="0" priority="6">
      <formula>ABS(B51)&gt;0.009</formula>
    </cfRule>
  </conditionalFormatting>
  <conditionalFormatting sqref="B54:E54">
    <cfRule type="expression" dxfId="0" priority="7">
      <formula>ABS(B54)&gt;0.009</formula>
    </cfRule>
  </conditionalFormatting>
  <conditionalFormatting sqref="B55:E55">
    <cfRule type="expression" dxfId="2" priority="8">
      <formula>B55&gt;0</formula>
    </cfRule>
  </conditionalFormatting>
  <conditionalFormatting sqref="B56:E56">
    <cfRule type="expression" dxfId="2" priority="9">
      <formula>B56&gt;0</formula>
    </cfRule>
  </conditionalFormatting>
  <conditionalFormatting sqref="C74">
    <cfRule type="expression" dxfId="0" priority="10">
      <formula>ABS(C74)&gt;0.009</formula>
    </cfRule>
  </conditionalFormatting>
  <conditionalFormatting sqref="G74">
    <cfRule type="expression" dxfId="0" priority="11">
      <formula>ABS(G74)&gt;0.009</formula>
    </cfRule>
  </conditionalFormatting>
  <conditionalFormatting sqref="E81:E120">
    <cfRule type="expression" dxfId="0" priority="12">
      <formula>AND(ISNUMBER(E81),ABS(E81)&gt;0.009)</formula>
    </cfRule>
  </conditionalFormatting>
  <dataValidations>
    <dataValidation type="list" allowBlank="1" sqref="H81:H120">
      <formula1>"Sí,No,No aplica"</formula1>
    </dataValidation>
    <dataValidation type="list" allowBlank="1" sqref="B81:B120">
      <formula1>Listas!$S$5:$S$6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15.0"/>
    <col customWidth="1" min="3" max="4" width="17.0"/>
    <col customWidth="1" min="5" max="5" width="19.0"/>
    <col customWidth="1" min="6" max="7" width="20.0"/>
    <col customWidth="1" min="8" max="8" width="13.0"/>
    <col customWidth="1" min="9" max="26" width="8.71"/>
  </cols>
  <sheetData>
    <row r="1" ht="19.5" customHeight="1">
      <c r="A1" s="1" t="s">
        <v>342</v>
      </c>
      <c r="B1" s="2"/>
      <c r="C1" s="2"/>
      <c r="D1" s="2"/>
      <c r="E1" s="2"/>
      <c r="F1" s="2"/>
      <c r="G1" s="2"/>
      <c r="H1" s="2"/>
    </row>
    <row r="2" ht="15.0" customHeight="1">
      <c r="A2" s="3" t="s">
        <v>343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 ht="15.0" customHeight="1">
      <c r="A4" s="101" t="s">
        <v>344</v>
      </c>
      <c r="B4" s="79"/>
      <c r="C4" s="79"/>
      <c r="D4" s="79"/>
      <c r="E4" s="79"/>
      <c r="F4" s="79"/>
      <c r="G4" s="79"/>
      <c r="H4" s="79"/>
    </row>
    <row r="5" ht="30.0" customHeight="1">
      <c r="A5" s="4" t="s">
        <v>281</v>
      </c>
      <c r="B5" s="10" t="str">
        <f>Listas!$K$5</f>
        <v>Octubre 2026</v>
      </c>
      <c r="C5" s="10" t="str">
        <f>Listas!$K$6</f>
        <v>Noviembre 2026</v>
      </c>
      <c r="D5" s="10" t="str">
        <f>Listas!$K$7</f>
        <v>Diciembre 2026</v>
      </c>
      <c r="E5" s="18" t="s">
        <v>27</v>
      </c>
      <c r="F5" s="2"/>
      <c r="G5" s="2"/>
      <c r="H5" s="2"/>
    </row>
    <row r="6" ht="15.0" customHeight="1">
      <c r="A6" s="66" t="s">
        <v>345</v>
      </c>
      <c r="B6" s="102">
        <f>'Gastos e Ingresos'!B10</f>
        <v>27531.46623</v>
      </c>
      <c r="C6" s="102">
        <f>'Gastos e Ingresos'!C10</f>
        <v>0</v>
      </c>
      <c r="D6" s="102">
        <f>'Gastos e Ingresos'!D10</f>
        <v>0</v>
      </c>
      <c r="E6" s="102">
        <f>'Gastos e Ingresos'!E10</f>
        <v>27531.46623</v>
      </c>
      <c r="F6" s="2"/>
      <c r="G6" s="2"/>
      <c r="H6" s="2"/>
    </row>
    <row r="7" ht="15.0" customHeight="1">
      <c r="A7" s="66" t="s">
        <v>346</v>
      </c>
      <c r="B7" s="102">
        <f>'Gastos e Ingresos'!B25</f>
        <v>38170</v>
      </c>
      <c r="C7" s="102">
        <f>'Gastos e Ingresos'!C25</f>
        <v>0</v>
      </c>
      <c r="D7" s="102">
        <f>'Gastos e Ingresos'!D25</f>
        <v>0</v>
      </c>
      <c r="E7" s="102">
        <f>'Gastos e Ingresos'!E25</f>
        <v>38170</v>
      </c>
      <c r="F7" s="2"/>
      <c r="G7" s="2"/>
      <c r="H7" s="2"/>
    </row>
    <row r="8" ht="15.0" customHeight="1">
      <c r="A8" s="103" t="s">
        <v>347</v>
      </c>
      <c r="B8" s="104">
        <f t="shared" ref="B8:E8" si="1">B6-B7</f>
        <v>-10638.53377</v>
      </c>
      <c r="C8" s="104">
        <f t="shared" si="1"/>
        <v>0</v>
      </c>
      <c r="D8" s="104">
        <f t="shared" si="1"/>
        <v>0</v>
      </c>
      <c r="E8" s="104">
        <f t="shared" si="1"/>
        <v>-10638.53377</v>
      </c>
      <c r="F8" s="2"/>
      <c r="G8" s="2"/>
      <c r="H8" s="2"/>
    </row>
    <row r="9" ht="15.0" customHeight="1">
      <c r="A9" s="66" t="s">
        <v>348</v>
      </c>
      <c r="B9" s="41">
        <f t="shared" ref="B9:E9" si="2">IF(B6=0,0,B8/B6)</f>
        <v>-0.3864136287</v>
      </c>
      <c r="C9" s="41">
        <f t="shared" si="2"/>
        <v>0</v>
      </c>
      <c r="D9" s="41">
        <f t="shared" si="2"/>
        <v>0</v>
      </c>
      <c r="E9" s="41">
        <f t="shared" si="2"/>
        <v>-0.3864136287</v>
      </c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 ht="15.0" customHeight="1">
      <c r="A11" s="101" t="s">
        <v>349</v>
      </c>
      <c r="B11" s="79"/>
      <c r="C11" s="79"/>
      <c r="D11" s="79"/>
      <c r="E11" s="79"/>
      <c r="F11" s="79"/>
      <c r="G11" s="79"/>
      <c r="H11" s="79"/>
    </row>
    <row r="12" ht="30.0" customHeight="1">
      <c r="A12" s="4" t="s">
        <v>37</v>
      </c>
      <c r="B12" s="18" t="str">
        <f>"Ppto "&amp;Listas!$K$5</f>
        <v>Ppto Octubre 2026</v>
      </c>
      <c r="C12" s="18" t="str">
        <f>"Ppto "&amp;Listas!$K$6</f>
        <v>Ppto Noviembre 2026</v>
      </c>
      <c r="D12" s="18" t="str">
        <f>"Ppto "&amp;Listas!$K$7</f>
        <v>Ppto Diciembre 2026</v>
      </c>
      <c r="E12" s="18" t="s">
        <v>350</v>
      </c>
      <c r="F12" s="18" t="s">
        <v>351</v>
      </c>
      <c r="G12" s="18" t="s">
        <v>352</v>
      </c>
      <c r="H12" s="18" t="s">
        <v>353</v>
      </c>
    </row>
    <row r="13" ht="15.0" customHeight="1">
      <c r="A13" s="71" t="str">
        <f>Listas!$A$5</f>
        <v>Nómina y salarios</v>
      </c>
      <c r="B13" s="105"/>
      <c r="C13" s="105"/>
      <c r="D13" s="105"/>
      <c r="E13" s="36">
        <f t="shared" ref="E13:E28" si="3">SUM(B13:D13)</f>
        <v>0</v>
      </c>
      <c r="F13" s="102">
        <f>'Gastos e Ingresos'!E13</f>
        <v>2167</v>
      </c>
      <c r="G13" s="106">
        <f t="shared" ref="G13:G28" si="4">E13-F13</f>
        <v>-2167</v>
      </c>
      <c r="H13" s="107">
        <f t="shared" ref="H13:H29" si="5">IF(E13=0,0,F13/E13)</f>
        <v>0</v>
      </c>
    </row>
    <row r="14" ht="15.0" customHeight="1">
      <c r="A14" s="71" t="str">
        <f>Listas!$A$6</f>
        <v>Cargas sociales (CCSS/INS)</v>
      </c>
      <c r="B14" s="105"/>
      <c r="C14" s="105"/>
      <c r="D14" s="105"/>
      <c r="E14" s="36">
        <f t="shared" si="3"/>
        <v>0</v>
      </c>
      <c r="F14" s="102">
        <f>'Gastos e Ingresos'!E14</f>
        <v>564</v>
      </c>
      <c r="G14" s="106">
        <f t="shared" si="4"/>
        <v>-564</v>
      </c>
      <c r="H14" s="107">
        <f t="shared" si="5"/>
        <v>0</v>
      </c>
    </row>
    <row r="15" ht="15.0" customHeight="1">
      <c r="A15" s="71" t="str">
        <f>Listas!$A$7</f>
        <v>Servicios públicos e internet</v>
      </c>
      <c r="B15" s="105"/>
      <c r="C15" s="105"/>
      <c r="D15" s="105"/>
      <c r="E15" s="36">
        <f t="shared" si="3"/>
        <v>0</v>
      </c>
      <c r="F15" s="102">
        <f>'Gastos e Ingresos'!E15</f>
        <v>2825</v>
      </c>
      <c r="G15" s="106">
        <f t="shared" si="4"/>
        <v>-2825</v>
      </c>
      <c r="H15" s="107">
        <f t="shared" si="5"/>
        <v>0</v>
      </c>
    </row>
    <row r="16" ht="15.0" customHeight="1">
      <c r="A16" s="71" t="str">
        <f>Listas!$A$8</f>
        <v>Mantenimiento y reparaciones</v>
      </c>
      <c r="B16" s="105"/>
      <c r="C16" s="105"/>
      <c r="D16" s="105"/>
      <c r="E16" s="36">
        <f t="shared" si="3"/>
        <v>0</v>
      </c>
      <c r="F16" s="102">
        <f>'Gastos e Ingresos'!E16</f>
        <v>3548</v>
      </c>
      <c r="G16" s="106">
        <f t="shared" si="4"/>
        <v>-3548</v>
      </c>
      <c r="H16" s="107">
        <f t="shared" si="5"/>
        <v>0</v>
      </c>
    </row>
    <row r="17" ht="15.0" customHeight="1">
      <c r="A17" s="71" t="str">
        <f>Listas!$A$9</f>
        <v>Limpieza y lavandería</v>
      </c>
      <c r="B17" s="105"/>
      <c r="C17" s="105"/>
      <c r="D17" s="105"/>
      <c r="E17" s="36">
        <f t="shared" si="3"/>
        <v>0</v>
      </c>
      <c r="F17" s="102">
        <f>'Gastos e Ingresos'!E17</f>
        <v>469</v>
      </c>
      <c r="G17" s="106">
        <f t="shared" si="4"/>
        <v>-469</v>
      </c>
      <c r="H17" s="107">
        <f t="shared" si="5"/>
        <v>0</v>
      </c>
    </row>
    <row r="18" ht="15.0" customHeight="1">
      <c r="A18" s="71" t="str">
        <f>Listas!$A$10</f>
        <v>Suministros y amenities</v>
      </c>
      <c r="B18" s="105"/>
      <c r="C18" s="105"/>
      <c r="D18" s="105"/>
      <c r="E18" s="36">
        <f t="shared" si="3"/>
        <v>0</v>
      </c>
      <c r="F18" s="102">
        <f>'Gastos e Ingresos'!E18</f>
        <v>542</v>
      </c>
      <c r="G18" s="106">
        <f t="shared" si="4"/>
        <v>-542</v>
      </c>
      <c r="H18" s="107">
        <f t="shared" si="5"/>
        <v>0</v>
      </c>
    </row>
    <row r="19" ht="15.0" customHeight="1">
      <c r="A19" s="71" t="str">
        <f>Listas!$A$11</f>
        <v>Alimentos y bebidas</v>
      </c>
      <c r="B19" s="105"/>
      <c r="C19" s="105"/>
      <c r="D19" s="105"/>
      <c r="E19" s="36">
        <f t="shared" si="3"/>
        <v>0</v>
      </c>
      <c r="F19" s="102">
        <f>'Gastos e Ingresos'!E19</f>
        <v>8662</v>
      </c>
      <c r="G19" s="106">
        <f t="shared" si="4"/>
        <v>-8662</v>
      </c>
      <c r="H19" s="107">
        <f t="shared" si="5"/>
        <v>0</v>
      </c>
    </row>
    <row r="20" ht="15.0" customHeight="1">
      <c r="A20" s="71" t="str">
        <f>Listas!$A$12</f>
        <v>Comisiones de plataformas</v>
      </c>
      <c r="B20" s="105"/>
      <c r="C20" s="105"/>
      <c r="D20" s="105"/>
      <c r="E20" s="36">
        <f t="shared" si="3"/>
        <v>0</v>
      </c>
      <c r="F20" s="102">
        <f>'Gastos e Ingresos'!E20</f>
        <v>321</v>
      </c>
      <c r="G20" s="106">
        <f t="shared" si="4"/>
        <v>-321</v>
      </c>
      <c r="H20" s="107">
        <f t="shared" si="5"/>
        <v>0</v>
      </c>
    </row>
    <row r="21" ht="15.0" customHeight="1">
      <c r="A21" s="71" t="str">
        <f>Listas!$A$13</f>
        <v>Marketing y publicidad</v>
      </c>
      <c r="B21" s="105"/>
      <c r="C21" s="105"/>
      <c r="D21" s="105"/>
      <c r="E21" s="36">
        <f t="shared" si="3"/>
        <v>0</v>
      </c>
      <c r="F21" s="102">
        <f>'Gastos e Ingresos'!E21</f>
        <v>8000</v>
      </c>
      <c r="G21" s="106">
        <f t="shared" si="4"/>
        <v>-8000</v>
      </c>
      <c r="H21" s="107">
        <f t="shared" si="5"/>
        <v>0</v>
      </c>
    </row>
    <row r="22" ht="15.0" customHeight="1">
      <c r="A22" s="71" t="str">
        <f>Listas!$A$14</f>
        <v>Costo de tours y actividades</v>
      </c>
      <c r="B22" s="105"/>
      <c r="C22" s="105"/>
      <c r="D22" s="105"/>
      <c r="E22" s="36">
        <f t="shared" si="3"/>
        <v>0</v>
      </c>
      <c r="F22" s="102">
        <f>'Gastos e Ingresos'!E22</f>
        <v>2588</v>
      </c>
      <c r="G22" s="106">
        <f t="shared" si="4"/>
        <v>-2588</v>
      </c>
      <c r="H22" s="107">
        <f t="shared" si="5"/>
        <v>0</v>
      </c>
    </row>
    <row r="23" ht="15.0" customHeight="1">
      <c r="A23" s="71" t="str">
        <f>Listas!$A$15</f>
        <v>Seguros</v>
      </c>
      <c r="B23" s="105"/>
      <c r="C23" s="105"/>
      <c r="D23" s="105"/>
      <c r="E23" s="36">
        <f t="shared" si="3"/>
        <v>0</v>
      </c>
      <c r="F23" s="102">
        <f>'Gastos e Ingresos'!E23</f>
        <v>2194</v>
      </c>
      <c r="G23" s="106">
        <f t="shared" si="4"/>
        <v>-2194</v>
      </c>
      <c r="H23" s="107">
        <f t="shared" si="5"/>
        <v>0</v>
      </c>
    </row>
    <row r="24" ht="15.0" customHeight="1">
      <c r="A24" s="71" t="str">
        <f>Listas!$A$16</f>
        <v>Impuestos y patentes</v>
      </c>
      <c r="B24" s="105"/>
      <c r="C24" s="105"/>
      <c r="D24" s="105"/>
      <c r="E24" s="36">
        <f t="shared" si="3"/>
        <v>0</v>
      </c>
      <c r="F24" s="102">
        <f>'Gastos e Ingresos'!E24</f>
        <v>6290</v>
      </c>
      <c r="G24" s="106">
        <f t="shared" si="4"/>
        <v>-6290</v>
      </c>
      <c r="H24" s="107">
        <f t="shared" si="5"/>
        <v>0</v>
      </c>
    </row>
    <row r="25" ht="15.0" customHeight="1">
      <c r="A25" s="71" t="str">
        <f>Listas!$A$17</f>
        <v>Combustible y transporte</v>
      </c>
      <c r="B25" s="105"/>
      <c r="C25" s="105"/>
      <c r="D25" s="105"/>
      <c r="E25" s="36">
        <f t="shared" si="3"/>
        <v>0</v>
      </c>
      <c r="F25" s="102" t="str">
        <f t="shared" ref="F25:F28" si="6">#REF!</f>
        <v>#REF!</v>
      </c>
      <c r="G25" s="106" t="str">
        <f t="shared" si="4"/>
        <v>#REF!</v>
      </c>
      <c r="H25" s="107">
        <f t="shared" si="5"/>
        <v>0</v>
      </c>
    </row>
    <row r="26" ht="15.0" customHeight="1">
      <c r="A26" s="71" t="str">
        <f>Listas!$A$18</f>
        <v>Jardinería y piscinas</v>
      </c>
      <c r="B26" s="105"/>
      <c r="C26" s="105"/>
      <c r="D26" s="105"/>
      <c r="E26" s="36">
        <f t="shared" si="3"/>
        <v>0</v>
      </c>
      <c r="F26" s="102" t="str">
        <f t="shared" si="6"/>
        <v>#REF!</v>
      </c>
      <c r="G26" s="106" t="str">
        <f t="shared" si="4"/>
        <v>#REF!</v>
      </c>
      <c r="H26" s="107">
        <f t="shared" si="5"/>
        <v>0</v>
      </c>
    </row>
    <row r="27" ht="15.0" customHeight="1">
      <c r="A27" s="71" t="str">
        <f>Listas!$A$19</f>
        <v>Software y tecnología</v>
      </c>
      <c r="B27" s="105"/>
      <c r="C27" s="105"/>
      <c r="D27" s="105"/>
      <c r="E27" s="36">
        <f t="shared" si="3"/>
        <v>0</v>
      </c>
      <c r="F27" s="102" t="str">
        <f t="shared" si="6"/>
        <v>#REF!</v>
      </c>
      <c r="G27" s="106" t="str">
        <f t="shared" si="4"/>
        <v>#REF!</v>
      </c>
      <c r="H27" s="107">
        <f t="shared" si="5"/>
        <v>0</v>
      </c>
    </row>
    <row r="28" ht="15.0" customHeight="1">
      <c r="A28" s="71" t="str">
        <f>Listas!$A$20</f>
        <v>Imprevistos y otros</v>
      </c>
      <c r="B28" s="105"/>
      <c r="C28" s="105"/>
      <c r="D28" s="105"/>
      <c r="E28" s="36">
        <f t="shared" si="3"/>
        <v>0</v>
      </c>
      <c r="F28" s="102" t="str">
        <f t="shared" si="6"/>
        <v>#REF!</v>
      </c>
      <c r="G28" s="106" t="str">
        <f t="shared" si="4"/>
        <v>#REF!</v>
      </c>
      <c r="H28" s="107">
        <f t="shared" si="5"/>
        <v>0</v>
      </c>
    </row>
    <row r="29" ht="15.0" customHeight="1">
      <c r="A29" s="51" t="s">
        <v>354</v>
      </c>
      <c r="B29" s="54">
        <f t="shared" ref="B29:G29" si="7">SUM(B13:B28)</f>
        <v>0</v>
      </c>
      <c r="C29" s="54">
        <f t="shared" si="7"/>
        <v>0</v>
      </c>
      <c r="D29" s="54">
        <f t="shared" si="7"/>
        <v>0</v>
      </c>
      <c r="E29" s="54">
        <f t="shared" si="7"/>
        <v>0</v>
      </c>
      <c r="F29" s="54" t="str">
        <f t="shared" si="7"/>
        <v>#REF!</v>
      </c>
      <c r="G29" s="108" t="str">
        <f t="shared" si="7"/>
        <v>#REF!</v>
      </c>
      <c r="H29" s="109">
        <f t="shared" si="5"/>
        <v>0</v>
      </c>
    </row>
    <row r="30" ht="15.0" customHeight="1">
      <c r="A30" s="14" t="s">
        <v>355</v>
      </c>
      <c r="B30" s="2"/>
      <c r="C30" s="2"/>
      <c r="D30" s="2"/>
      <c r="E30" s="2"/>
      <c r="F30" s="2"/>
      <c r="G30" s="2"/>
      <c r="H30" s="2"/>
    </row>
    <row r="31" ht="15.75" customHeight="1">
      <c r="A31" s="2"/>
      <c r="B31" s="2"/>
      <c r="C31" s="2"/>
      <c r="D31" s="2"/>
      <c r="E31" s="2"/>
      <c r="F31" s="2"/>
      <c r="G31" s="2"/>
      <c r="H31" s="2"/>
    </row>
    <row r="32" ht="15.0" customHeight="1">
      <c r="A32" s="101" t="s">
        <v>356</v>
      </c>
      <c r="B32" s="79"/>
      <c r="C32" s="79"/>
      <c r="D32" s="79"/>
      <c r="E32" s="79"/>
      <c r="F32" s="79"/>
      <c r="G32" s="79"/>
      <c r="H32" s="79"/>
    </row>
    <row r="33" ht="30.0" customHeight="1">
      <c r="A33" s="4" t="s">
        <v>281</v>
      </c>
      <c r="B33" s="10" t="str">
        <f>Listas!$K$5</f>
        <v>Octubre 2026</v>
      </c>
      <c r="C33" s="10" t="str">
        <f>Listas!$K$6</f>
        <v>Noviembre 2026</v>
      </c>
      <c r="D33" s="10" t="str">
        <f>Listas!$K$7</f>
        <v>Diciembre 2026</v>
      </c>
      <c r="E33" s="18" t="s">
        <v>27</v>
      </c>
      <c r="F33" s="2"/>
      <c r="G33" s="2"/>
      <c r="H33" s="2"/>
    </row>
    <row r="34" ht="15.0" customHeight="1">
      <c r="A34" s="66" t="s">
        <v>357</v>
      </c>
      <c r="B34" s="105">
        <v>30000.0</v>
      </c>
      <c r="C34" s="105">
        <v>34000.0</v>
      </c>
      <c r="D34" s="105">
        <v>65000.0</v>
      </c>
      <c r="E34" s="36">
        <f t="shared" ref="E34:E35" si="9">SUM(B34:D34)</f>
        <v>129000</v>
      </c>
      <c r="F34" s="2"/>
      <c r="G34" s="2"/>
      <c r="H34" s="2"/>
    </row>
    <row r="35" ht="15.0" customHeight="1">
      <c r="A35" s="66" t="s">
        <v>358</v>
      </c>
      <c r="B35" s="27">
        <f t="shared" ref="B35:D35" si="8">B29</f>
        <v>0</v>
      </c>
      <c r="C35" s="27">
        <f t="shared" si="8"/>
        <v>0</v>
      </c>
      <c r="D35" s="27">
        <f t="shared" si="8"/>
        <v>0</v>
      </c>
      <c r="E35" s="36">
        <f t="shared" si="9"/>
        <v>0</v>
      </c>
      <c r="F35" s="2"/>
      <c r="G35" s="2"/>
      <c r="H35" s="2"/>
    </row>
    <row r="36" ht="15.0" customHeight="1">
      <c r="A36" s="103" t="s">
        <v>359</v>
      </c>
      <c r="B36" s="104">
        <f t="shared" ref="B36:E36" si="10">B34-B35</f>
        <v>30000</v>
      </c>
      <c r="C36" s="104">
        <f t="shared" si="10"/>
        <v>34000</v>
      </c>
      <c r="D36" s="104">
        <f t="shared" si="10"/>
        <v>65000</v>
      </c>
      <c r="E36" s="104">
        <f t="shared" si="10"/>
        <v>129000</v>
      </c>
      <c r="F36" s="2"/>
      <c r="G36" s="2"/>
      <c r="H36" s="2"/>
    </row>
    <row r="37" ht="15.0" customHeight="1">
      <c r="A37" s="66" t="s">
        <v>360</v>
      </c>
      <c r="B37" s="41">
        <f t="shared" ref="B37:E37" si="11">IF(B34=0,0,B36/B34)</f>
        <v>1</v>
      </c>
      <c r="C37" s="41">
        <f t="shared" si="11"/>
        <v>1</v>
      </c>
      <c r="D37" s="41">
        <f t="shared" si="11"/>
        <v>1</v>
      </c>
      <c r="E37" s="41">
        <f t="shared" si="11"/>
        <v>1</v>
      </c>
      <c r="F37" s="2"/>
      <c r="G37" s="2"/>
      <c r="H37" s="2"/>
    </row>
    <row r="38" ht="15.0" customHeight="1">
      <c r="A38" s="66" t="s">
        <v>361</v>
      </c>
      <c r="B38" s="106">
        <f t="shared" ref="B38:E38" si="12">B8</f>
        <v>-10638.53377</v>
      </c>
      <c r="C38" s="106">
        <f t="shared" si="12"/>
        <v>0</v>
      </c>
      <c r="D38" s="106">
        <f t="shared" si="12"/>
        <v>0</v>
      </c>
      <c r="E38" s="106">
        <f t="shared" si="12"/>
        <v>-10638.53377</v>
      </c>
      <c r="F38" s="2"/>
      <c r="G38" s="2"/>
      <c r="H38" s="2"/>
    </row>
    <row r="39" ht="15.0" customHeight="1">
      <c r="A39" s="16" t="s">
        <v>362</v>
      </c>
      <c r="B39" s="65">
        <f t="shared" ref="B39:E39" si="13">B38-B36</f>
        <v>-40638.53377</v>
      </c>
      <c r="C39" s="65">
        <f t="shared" si="13"/>
        <v>-34000</v>
      </c>
      <c r="D39" s="65">
        <f t="shared" si="13"/>
        <v>-65000</v>
      </c>
      <c r="E39" s="65">
        <f t="shared" si="13"/>
        <v>-139638.5338</v>
      </c>
      <c r="F39" s="2"/>
      <c r="G39" s="2"/>
      <c r="H39" s="2"/>
    </row>
    <row r="40" ht="15.0" customHeight="1">
      <c r="A40" s="14" t="s">
        <v>363</v>
      </c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0" customHeight="1">
      <c r="A42" s="101"/>
      <c r="B42" s="79"/>
      <c r="C42" s="79"/>
      <c r="D42" s="79"/>
      <c r="E42" s="79"/>
      <c r="F42" s="79"/>
      <c r="G42" s="79"/>
      <c r="H42" s="79"/>
    </row>
    <row r="43" ht="30.0" customHeight="1">
      <c r="A43" s="4"/>
      <c r="B43" s="18"/>
      <c r="C43" s="18"/>
      <c r="D43" s="18"/>
      <c r="E43" s="18"/>
      <c r="F43" s="18"/>
      <c r="G43" s="2"/>
      <c r="H43" s="2"/>
    </row>
    <row r="44" ht="15.0" customHeight="1">
      <c r="A44" s="110"/>
      <c r="B44" s="111"/>
      <c r="C44" s="27"/>
      <c r="D44" s="27"/>
      <c r="E44" s="106"/>
      <c r="F44" s="106"/>
      <c r="G44" s="2"/>
      <c r="H44" s="2"/>
    </row>
    <row r="45" ht="15.0" customHeight="1">
      <c r="A45" s="112"/>
      <c r="B45" s="111"/>
      <c r="C45" s="27"/>
      <c r="D45" s="27"/>
      <c r="E45" s="106"/>
      <c r="F45" s="106"/>
      <c r="G45" s="2"/>
      <c r="H45" s="2"/>
    </row>
    <row r="46" ht="15.0" customHeight="1">
      <c r="A46" s="112"/>
      <c r="B46" s="111"/>
      <c r="C46" s="27"/>
      <c r="D46" s="27"/>
      <c r="E46" s="106"/>
      <c r="F46" s="106"/>
      <c r="G46" s="2"/>
      <c r="H46" s="2"/>
    </row>
    <row r="47" ht="15.0" customHeight="1">
      <c r="A47" s="112"/>
      <c r="B47" s="111"/>
      <c r="C47" s="27"/>
      <c r="D47" s="27"/>
      <c r="E47" s="106"/>
      <c r="F47" s="106"/>
      <c r="G47" s="2"/>
      <c r="H47" s="2"/>
    </row>
    <row r="48" ht="15.0" customHeight="1">
      <c r="A48" s="112"/>
      <c r="B48" s="111"/>
      <c r="C48" s="27"/>
      <c r="D48" s="27"/>
      <c r="E48" s="106"/>
      <c r="F48" s="106"/>
      <c r="G48" s="2"/>
      <c r="H48" s="2"/>
    </row>
    <row r="49" ht="15.0" customHeight="1">
      <c r="A49" s="112"/>
      <c r="B49" s="111"/>
      <c r="C49" s="27"/>
      <c r="D49" s="27"/>
      <c r="E49" s="106"/>
      <c r="F49" s="106"/>
      <c r="G49" s="2"/>
      <c r="H49" s="2"/>
    </row>
    <row r="50" ht="15.0" customHeight="1">
      <c r="A50" s="112"/>
      <c r="B50" s="111"/>
      <c r="C50" s="27"/>
      <c r="D50" s="27"/>
      <c r="E50" s="106"/>
      <c r="F50" s="106"/>
      <c r="G50" s="2"/>
      <c r="H50" s="2"/>
    </row>
    <row r="51" ht="15.0" customHeight="1">
      <c r="A51" s="112"/>
      <c r="B51" s="111"/>
      <c r="C51" s="27"/>
      <c r="D51" s="27"/>
      <c r="E51" s="106"/>
      <c r="F51" s="106"/>
      <c r="G51" s="2"/>
      <c r="H51" s="2"/>
    </row>
    <row r="52" ht="15.0" customHeight="1">
      <c r="A52" s="112"/>
      <c r="B52" s="111"/>
      <c r="C52" s="27"/>
      <c r="D52" s="27"/>
      <c r="E52" s="106"/>
      <c r="F52" s="106"/>
      <c r="G52" s="2"/>
      <c r="H52" s="2"/>
    </row>
    <row r="53" ht="15.0" customHeight="1">
      <c r="A53" s="112"/>
      <c r="B53" s="111"/>
      <c r="C53" s="27"/>
      <c r="D53" s="27"/>
      <c r="E53" s="106"/>
      <c r="F53" s="106"/>
      <c r="G53" s="2"/>
      <c r="H53" s="2"/>
    </row>
    <row r="54" ht="15.0" customHeight="1">
      <c r="A54" s="112"/>
      <c r="B54" s="111"/>
      <c r="C54" s="27"/>
      <c r="D54" s="27"/>
      <c r="E54" s="106"/>
      <c r="F54" s="106"/>
      <c r="G54" s="2"/>
      <c r="H54" s="2"/>
    </row>
    <row r="55" ht="15.0" customHeight="1">
      <c r="A55" s="112"/>
      <c r="B55" s="111"/>
      <c r="C55" s="27"/>
      <c r="D55" s="27"/>
      <c r="E55" s="106"/>
      <c r="F55" s="106"/>
      <c r="G55" s="2"/>
      <c r="H55" s="2"/>
    </row>
    <row r="56" ht="15.0" customHeight="1">
      <c r="A56" s="112"/>
      <c r="B56" s="111"/>
      <c r="C56" s="27"/>
      <c r="D56" s="27"/>
      <c r="E56" s="106"/>
      <c r="F56" s="106"/>
      <c r="G56" s="2"/>
      <c r="H56" s="2"/>
    </row>
    <row r="57" ht="15.0" customHeight="1">
      <c r="A57" s="112"/>
      <c r="B57" s="111"/>
      <c r="C57" s="27"/>
      <c r="D57" s="27"/>
      <c r="E57" s="106"/>
      <c r="F57" s="106"/>
      <c r="G57" s="2"/>
      <c r="H57" s="2"/>
    </row>
    <row r="58" ht="15.0" customHeight="1">
      <c r="A58" s="112"/>
      <c r="B58" s="111"/>
      <c r="C58" s="27"/>
      <c r="D58" s="27"/>
      <c r="E58" s="106"/>
      <c r="F58" s="106"/>
      <c r="G58" s="2"/>
      <c r="H58" s="2"/>
    </row>
    <row r="59" ht="15.0" customHeight="1">
      <c r="A59" s="112"/>
      <c r="B59" s="111"/>
      <c r="C59" s="27"/>
      <c r="D59" s="27"/>
      <c r="E59" s="106"/>
      <c r="F59" s="106"/>
      <c r="G59" s="2"/>
      <c r="H59" s="2"/>
    </row>
    <row r="60" ht="15.0" customHeight="1">
      <c r="A60" s="112"/>
      <c r="B60" s="111"/>
      <c r="C60" s="27"/>
      <c r="D60" s="27"/>
      <c r="E60" s="106"/>
      <c r="F60" s="106"/>
      <c r="G60" s="2"/>
      <c r="H60" s="2"/>
    </row>
    <row r="61" ht="15.0" customHeight="1">
      <c r="A61" s="112"/>
      <c r="B61" s="111"/>
      <c r="C61" s="27"/>
      <c r="D61" s="27"/>
      <c r="E61" s="106"/>
      <c r="F61" s="106"/>
      <c r="G61" s="2"/>
      <c r="H61" s="2"/>
    </row>
    <row r="62" ht="15.0" customHeight="1">
      <c r="A62" s="112"/>
      <c r="B62" s="111"/>
      <c r="C62" s="27"/>
      <c r="D62" s="27"/>
      <c r="E62" s="106"/>
      <c r="F62" s="106"/>
      <c r="G62" s="2"/>
      <c r="H62" s="2"/>
    </row>
    <row r="63" ht="15.0" customHeight="1">
      <c r="A63" s="112"/>
      <c r="B63" s="111"/>
      <c r="C63" s="27"/>
      <c r="D63" s="27"/>
      <c r="E63" s="106"/>
      <c r="F63" s="106"/>
      <c r="G63" s="2"/>
      <c r="H63" s="2"/>
    </row>
    <row r="64" ht="15.0" customHeight="1">
      <c r="A64" s="112"/>
      <c r="B64" s="111"/>
      <c r="C64" s="27"/>
      <c r="D64" s="27"/>
      <c r="E64" s="106"/>
      <c r="F64" s="106"/>
      <c r="G64" s="2"/>
      <c r="H64" s="2"/>
    </row>
    <row r="65" ht="15.0" customHeight="1">
      <c r="A65" s="112"/>
      <c r="B65" s="111"/>
      <c r="C65" s="27"/>
      <c r="D65" s="27"/>
      <c r="E65" s="106"/>
      <c r="F65" s="106"/>
      <c r="G65" s="2"/>
      <c r="H65" s="2"/>
    </row>
    <row r="66" ht="15.0" customHeight="1">
      <c r="A66" s="112"/>
      <c r="B66" s="111"/>
      <c r="C66" s="27"/>
      <c r="D66" s="27"/>
      <c r="E66" s="106"/>
      <c r="F66" s="106"/>
      <c r="G66" s="2"/>
      <c r="H66" s="2"/>
    </row>
    <row r="67" ht="15.0" customHeight="1">
      <c r="A67" s="112"/>
      <c r="B67" s="111"/>
      <c r="C67" s="27"/>
      <c r="D67" s="27"/>
      <c r="E67" s="106"/>
      <c r="F67" s="106"/>
      <c r="G67" s="2"/>
      <c r="H67" s="2"/>
    </row>
    <row r="68" ht="15.0" customHeight="1">
      <c r="A68" s="112"/>
      <c r="B68" s="111"/>
      <c r="C68" s="27"/>
      <c r="D68" s="27"/>
      <c r="E68" s="106"/>
      <c r="F68" s="106"/>
      <c r="G68" s="2"/>
      <c r="H68" s="2"/>
    </row>
    <row r="69" ht="15.0" customHeight="1">
      <c r="A69" s="112"/>
      <c r="B69" s="111"/>
      <c r="C69" s="27"/>
      <c r="D69" s="27"/>
      <c r="E69" s="106"/>
      <c r="F69" s="106"/>
      <c r="G69" s="2"/>
      <c r="H69" s="2"/>
    </row>
    <row r="70" ht="15.0" customHeight="1">
      <c r="A70" s="112"/>
      <c r="B70" s="111"/>
      <c r="C70" s="27"/>
      <c r="D70" s="27"/>
      <c r="E70" s="106"/>
      <c r="F70" s="106"/>
      <c r="G70" s="2"/>
      <c r="H70" s="2"/>
    </row>
    <row r="71" ht="15.0" customHeight="1">
      <c r="A71" s="112"/>
      <c r="B71" s="111"/>
      <c r="C71" s="27"/>
      <c r="D71" s="27"/>
      <c r="E71" s="106"/>
      <c r="F71" s="106"/>
      <c r="G71" s="2"/>
      <c r="H71" s="2"/>
    </row>
    <row r="72" ht="15.0" customHeight="1">
      <c r="A72" s="112"/>
      <c r="B72" s="111"/>
      <c r="C72" s="27"/>
      <c r="D72" s="27"/>
      <c r="E72" s="106"/>
      <c r="F72" s="106"/>
      <c r="G72" s="2"/>
      <c r="H72" s="2"/>
    </row>
    <row r="73" ht="15.0" customHeight="1">
      <c r="A73" s="112"/>
      <c r="B73" s="111"/>
      <c r="C73" s="27"/>
      <c r="D73" s="27"/>
      <c r="E73" s="106"/>
      <c r="F73" s="106"/>
      <c r="G73" s="2"/>
      <c r="H73" s="2"/>
    </row>
    <row r="74" ht="15.0" customHeight="1">
      <c r="A74" s="112"/>
      <c r="B74" s="111"/>
      <c r="C74" s="27"/>
      <c r="D74" s="27"/>
      <c r="E74" s="106"/>
      <c r="F74" s="106"/>
      <c r="G74" s="2"/>
      <c r="H74" s="2"/>
    </row>
    <row r="75" ht="15.0" customHeight="1">
      <c r="A75" s="112"/>
      <c r="B75" s="111"/>
      <c r="C75" s="27"/>
      <c r="D75" s="27"/>
      <c r="E75" s="106"/>
      <c r="F75" s="106"/>
      <c r="G75" s="2"/>
      <c r="H75" s="2"/>
    </row>
    <row r="76" ht="15.0" customHeight="1">
      <c r="A76" s="112"/>
      <c r="B76" s="111"/>
      <c r="C76" s="27"/>
      <c r="D76" s="27"/>
      <c r="E76" s="106"/>
      <c r="F76" s="106"/>
      <c r="G76" s="2"/>
      <c r="H76" s="2"/>
    </row>
    <row r="77" ht="15.0" customHeight="1">
      <c r="A77" s="112"/>
      <c r="B77" s="111"/>
      <c r="C77" s="27"/>
      <c r="D77" s="27"/>
      <c r="E77" s="106"/>
      <c r="F77" s="106"/>
      <c r="G77" s="2"/>
      <c r="H77" s="2"/>
    </row>
    <row r="78" ht="15.0" customHeight="1">
      <c r="A78" s="112"/>
      <c r="B78" s="111"/>
      <c r="C78" s="27"/>
      <c r="D78" s="27"/>
      <c r="E78" s="106"/>
      <c r="F78" s="106"/>
      <c r="G78" s="2"/>
      <c r="H78" s="2"/>
    </row>
    <row r="79" ht="15.0" customHeight="1">
      <c r="A79" s="112"/>
      <c r="B79" s="111"/>
      <c r="C79" s="27"/>
      <c r="D79" s="27"/>
      <c r="E79" s="106"/>
      <c r="F79" s="106"/>
      <c r="G79" s="2"/>
      <c r="H79" s="2"/>
    </row>
    <row r="80" ht="15.0" customHeight="1">
      <c r="A80" s="112"/>
      <c r="B80" s="111"/>
      <c r="C80" s="27"/>
      <c r="D80" s="27"/>
      <c r="E80" s="106"/>
      <c r="F80" s="106"/>
      <c r="G80" s="2"/>
      <c r="H80" s="2"/>
    </row>
    <row r="81" ht="15.0" customHeight="1">
      <c r="A81" s="112"/>
      <c r="B81" s="111"/>
      <c r="C81" s="27"/>
      <c r="D81" s="27"/>
      <c r="E81" s="106"/>
      <c r="F81" s="106"/>
      <c r="G81" s="2"/>
      <c r="H81" s="2"/>
    </row>
    <row r="82" ht="15.0" customHeight="1">
      <c r="A82" s="112"/>
      <c r="B82" s="111"/>
      <c r="C82" s="27"/>
      <c r="D82" s="27"/>
      <c r="E82" s="106"/>
      <c r="F82" s="106"/>
      <c r="G82" s="2"/>
      <c r="H82" s="2"/>
    </row>
    <row r="83" ht="15.0" customHeight="1">
      <c r="A83" s="112"/>
      <c r="B83" s="111"/>
      <c r="C83" s="27"/>
      <c r="D83" s="27"/>
      <c r="E83" s="106"/>
      <c r="F83" s="106"/>
      <c r="G83" s="2"/>
      <c r="H83" s="2"/>
    </row>
    <row r="84" ht="15.0" customHeight="1">
      <c r="A84" s="112"/>
      <c r="B84" s="111"/>
      <c r="C84" s="27"/>
      <c r="D84" s="27"/>
      <c r="E84" s="106"/>
      <c r="F84" s="106"/>
      <c r="G84" s="2"/>
      <c r="H84" s="2"/>
    </row>
    <row r="85" ht="15.0" customHeight="1">
      <c r="A85" s="112"/>
      <c r="B85" s="111"/>
      <c r="C85" s="27"/>
      <c r="D85" s="27"/>
      <c r="E85" s="106"/>
      <c r="F85" s="106"/>
      <c r="G85" s="2"/>
      <c r="H85" s="2"/>
    </row>
    <row r="86" ht="15.0" customHeight="1">
      <c r="A86" s="112"/>
      <c r="B86" s="111"/>
      <c r="C86" s="27"/>
      <c r="D86" s="27"/>
      <c r="E86" s="106"/>
      <c r="F86" s="106"/>
      <c r="G86" s="2"/>
      <c r="H86" s="2"/>
    </row>
    <row r="87" ht="15.0" customHeight="1">
      <c r="A87" s="112"/>
      <c r="B87" s="111"/>
      <c r="C87" s="27"/>
      <c r="D87" s="27"/>
      <c r="E87" s="106"/>
      <c r="F87" s="106"/>
      <c r="G87" s="2"/>
      <c r="H87" s="2"/>
    </row>
    <row r="88" ht="15.0" customHeight="1">
      <c r="A88" s="112"/>
      <c r="B88" s="111"/>
      <c r="C88" s="27"/>
      <c r="D88" s="27"/>
      <c r="E88" s="106"/>
      <c r="F88" s="106"/>
      <c r="G88" s="2"/>
      <c r="H88" s="2"/>
    </row>
    <row r="89" ht="15.0" customHeight="1">
      <c r="A89" s="112"/>
      <c r="B89" s="111"/>
      <c r="C89" s="27"/>
      <c r="D89" s="27"/>
      <c r="E89" s="106"/>
      <c r="F89" s="106"/>
      <c r="G89" s="2"/>
      <c r="H89" s="2"/>
    </row>
    <row r="90" ht="15.0" customHeight="1">
      <c r="A90" s="112"/>
      <c r="B90" s="111"/>
      <c r="C90" s="27"/>
      <c r="D90" s="27"/>
      <c r="E90" s="106"/>
      <c r="F90" s="106"/>
      <c r="G90" s="2"/>
      <c r="H90" s="2"/>
    </row>
    <row r="91" ht="15.0" customHeight="1">
      <c r="A91" s="112"/>
      <c r="B91" s="111"/>
      <c r="C91" s="27"/>
      <c r="D91" s="27"/>
      <c r="E91" s="106"/>
      <c r="F91" s="106"/>
      <c r="G91" s="2"/>
      <c r="H91" s="2"/>
    </row>
    <row r="92" ht="15.0" customHeight="1">
      <c r="A92" s="112"/>
      <c r="B92" s="111"/>
      <c r="C92" s="27"/>
      <c r="D92" s="27"/>
      <c r="E92" s="106"/>
      <c r="F92" s="106"/>
      <c r="G92" s="2"/>
      <c r="H92" s="2"/>
    </row>
    <row r="93" ht="15.0" customHeight="1">
      <c r="A93" s="112"/>
      <c r="B93" s="111"/>
      <c r="C93" s="27"/>
      <c r="D93" s="27"/>
      <c r="E93" s="106"/>
      <c r="F93" s="106"/>
      <c r="G93" s="2"/>
      <c r="H93" s="2"/>
    </row>
    <row r="94" ht="15.0" customHeight="1">
      <c r="A94" s="112"/>
      <c r="B94" s="111"/>
      <c r="C94" s="27"/>
      <c r="D94" s="27"/>
      <c r="E94" s="106"/>
      <c r="F94" s="106"/>
      <c r="G94" s="2"/>
      <c r="H94" s="2"/>
    </row>
    <row r="95" ht="15.0" customHeight="1">
      <c r="A95" s="112"/>
      <c r="B95" s="111"/>
      <c r="C95" s="27"/>
      <c r="D95" s="27"/>
      <c r="E95" s="106"/>
      <c r="F95" s="106"/>
      <c r="G95" s="2"/>
      <c r="H95" s="2"/>
    </row>
    <row r="96" ht="15.0" customHeight="1">
      <c r="A96" s="112"/>
      <c r="B96" s="111"/>
      <c r="C96" s="27"/>
      <c r="D96" s="27"/>
      <c r="E96" s="106"/>
      <c r="F96" s="106"/>
      <c r="G96" s="2"/>
      <c r="H96" s="2"/>
    </row>
    <row r="97" ht="15.0" customHeight="1">
      <c r="A97" s="112"/>
      <c r="B97" s="111"/>
      <c r="C97" s="27"/>
      <c r="D97" s="27"/>
      <c r="E97" s="106"/>
      <c r="F97" s="106"/>
      <c r="G97" s="2"/>
      <c r="H97" s="2"/>
    </row>
    <row r="98" ht="15.0" customHeight="1">
      <c r="A98" s="112"/>
      <c r="B98" s="111"/>
      <c r="C98" s="27"/>
      <c r="D98" s="27"/>
      <c r="E98" s="106"/>
      <c r="F98" s="106"/>
      <c r="G98" s="2"/>
      <c r="H98" s="2"/>
    </row>
    <row r="99" ht="15.0" customHeight="1">
      <c r="A99" s="112"/>
      <c r="B99" s="111"/>
      <c r="C99" s="27"/>
      <c r="D99" s="27"/>
      <c r="E99" s="106"/>
      <c r="F99" s="106"/>
      <c r="G99" s="2"/>
      <c r="H99" s="2"/>
    </row>
    <row r="100" ht="15.0" customHeight="1">
      <c r="A100" s="112"/>
      <c r="B100" s="111"/>
      <c r="C100" s="27"/>
      <c r="D100" s="27"/>
      <c r="E100" s="106"/>
      <c r="F100" s="106"/>
      <c r="G100" s="2"/>
      <c r="H100" s="2"/>
    </row>
    <row r="101" ht="15.0" customHeight="1">
      <c r="A101" s="112"/>
      <c r="B101" s="111"/>
      <c r="C101" s="27"/>
      <c r="D101" s="27"/>
      <c r="E101" s="106"/>
      <c r="F101" s="106"/>
      <c r="G101" s="2"/>
      <c r="H101" s="2"/>
    </row>
    <row r="102" ht="15.0" customHeight="1">
      <c r="A102" s="112"/>
      <c r="B102" s="111"/>
      <c r="C102" s="27"/>
      <c r="D102" s="27"/>
      <c r="E102" s="106"/>
      <c r="F102" s="106"/>
      <c r="G102" s="2"/>
      <c r="H102" s="2"/>
    </row>
    <row r="103" ht="15.0" customHeight="1">
      <c r="A103" s="112"/>
      <c r="B103" s="111"/>
      <c r="C103" s="27"/>
      <c r="D103" s="27"/>
      <c r="E103" s="106"/>
      <c r="F103" s="106"/>
      <c r="G103" s="2"/>
      <c r="H103" s="2"/>
    </row>
    <row r="104" ht="15.0" customHeight="1">
      <c r="A104" s="112"/>
      <c r="B104" s="111"/>
      <c r="C104" s="27"/>
      <c r="D104" s="27"/>
      <c r="E104" s="106"/>
      <c r="F104" s="106"/>
      <c r="G104" s="2"/>
      <c r="H104" s="2"/>
    </row>
    <row r="105" ht="15.0" customHeight="1">
      <c r="A105" s="112"/>
      <c r="B105" s="111"/>
      <c r="C105" s="27"/>
      <c r="D105" s="27"/>
      <c r="E105" s="106"/>
      <c r="F105" s="106"/>
      <c r="G105" s="2"/>
      <c r="H105" s="2"/>
    </row>
    <row r="106" ht="15.0" customHeight="1">
      <c r="A106" s="112"/>
      <c r="B106" s="111"/>
      <c r="C106" s="27"/>
      <c r="D106" s="27"/>
      <c r="E106" s="106"/>
      <c r="F106" s="106"/>
      <c r="G106" s="2"/>
      <c r="H106" s="2"/>
    </row>
    <row r="107" ht="15.0" customHeight="1">
      <c r="A107" s="112"/>
      <c r="B107" s="111"/>
      <c r="C107" s="27"/>
      <c r="D107" s="27"/>
      <c r="E107" s="106"/>
      <c r="F107" s="106"/>
      <c r="G107" s="2"/>
      <c r="H107" s="2"/>
    </row>
    <row r="108" ht="15.0" customHeight="1">
      <c r="A108" s="112"/>
      <c r="B108" s="111"/>
      <c r="C108" s="27"/>
      <c r="D108" s="27"/>
      <c r="E108" s="106"/>
      <c r="F108" s="106"/>
      <c r="G108" s="2"/>
      <c r="H108" s="2"/>
    </row>
    <row r="109" ht="15.0" customHeight="1">
      <c r="A109" s="112"/>
      <c r="B109" s="111"/>
      <c r="C109" s="27"/>
      <c r="D109" s="27"/>
      <c r="E109" s="106"/>
      <c r="F109" s="106"/>
      <c r="G109" s="2"/>
      <c r="H109" s="2"/>
    </row>
    <row r="110" ht="15.0" customHeight="1">
      <c r="A110" s="112"/>
      <c r="B110" s="111"/>
      <c r="C110" s="27"/>
      <c r="D110" s="27"/>
      <c r="E110" s="106"/>
      <c r="F110" s="106"/>
      <c r="G110" s="2"/>
      <c r="H110" s="2"/>
    </row>
    <row r="111" ht="15.0" customHeight="1">
      <c r="A111" s="112"/>
      <c r="B111" s="111"/>
      <c r="C111" s="27"/>
      <c r="D111" s="27"/>
      <c r="E111" s="106"/>
      <c r="F111" s="106"/>
      <c r="G111" s="2"/>
      <c r="H111" s="2"/>
    </row>
    <row r="112" ht="15.0" customHeight="1">
      <c r="A112" s="112"/>
      <c r="B112" s="111"/>
      <c r="C112" s="27"/>
      <c r="D112" s="27"/>
      <c r="E112" s="106"/>
      <c r="F112" s="106"/>
      <c r="G112" s="2"/>
      <c r="H112" s="2"/>
    </row>
    <row r="113" ht="15.0" customHeight="1">
      <c r="A113" s="112"/>
      <c r="B113" s="111"/>
      <c r="C113" s="27"/>
      <c r="D113" s="27"/>
      <c r="E113" s="106"/>
      <c r="F113" s="106"/>
      <c r="G113" s="2"/>
      <c r="H113" s="2"/>
    </row>
    <row r="114" ht="15.0" customHeight="1">
      <c r="A114" s="112"/>
      <c r="B114" s="111"/>
      <c r="C114" s="27"/>
      <c r="D114" s="27"/>
      <c r="E114" s="106"/>
      <c r="F114" s="106"/>
      <c r="G114" s="2"/>
      <c r="H114" s="2"/>
    </row>
    <row r="115" ht="15.0" customHeight="1">
      <c r="A115" s="112"/>
      <c r="B115" s="111"/>
      <c r="C115" s="27"/>
      <c r="D115" s="27"/>
      <c r="E115" s="106"/>
      <c r="F115" s="106"/>
      <c r="G115" s="2"/>
      <c r="H115" s="2"/>
    </row>
    <row r="116" ht="15.0" customHeight="1">
      <c r="A116" s="112"/>
      <c r="B116" s="111"/>
      <c r="C116" s="27"/>
      <c r="D116" s="27"/>
      <c r="E116" s="106"/>
      <c r="F116" s="106"/>
      <c r="G116" s="2"/>
      <c r="H116" s="2"/>
    </row>
    <row r="117" ht="15.0" customHeight="1">
      <c r="A117" s="112"/>
      <c r="B117" s="111"/>
      <c r="C117" s="27"/>
      <c r="D117" s="27"/>
      <c r="E117" s="106"/>
      <c r="F117" s="106"/>
      <c r="G117" s="2"/>
      <c r="H117" s="2"/>
    </row>
    <row r="118" ht="15.0" customHeight="1">
      <c r="A118" s="112"/>
      <c r="B118" s="111"/>
      <c r="C118" s="27"/>
      <c r="D118" s="27"/>
      <c r="E118" s="106"/>
      <c r="F118" s="106"/>
      <c r="G118" s="2"/>
      <c r="H118" s="2"/>
    </row>
    <row r="119" ht="15.0" customHeight="1">
      <c r="A119" s="112"/>
      <c r="B119" s="111"/>
      <c r="C119" s="27"/>
      <c r="D119" s="27"/>
      <c r="E119" s="106"/>
      <c r="F119" s="106"/>
      <c r="G119" s="2"/>
      <c r="H119" s="2"/>
    </row>
    <row r="120" ht="15.0" customHeight="1">
      <c r="A120" s="112"/>
      <c r="B120" s="111"/>
      <c r="C120" s="27"/>
      <c r="D120" s="27"/>
      <c r="E120" s="106"/>
      <c r="F120" s="106"/>
      <c r="G120" s="2"/>
      <c r="H120" s="2"/>
    </row>
    <row r="121" ht="15.0" customHeight="1">
      <c r="A121" s="112"/>
      <c r="B121" s="111"/>
      <c r="C121" s="27"/>
      <c r="D121" s="27"/>
      <c r="E121" s="106"/>
      <c r="F121" s="106"/>
      <c r="G121" s="2"/>
      <c r="H121" s="2"/>
    </row>
    <row r="122" ht="15.0" customHeight="1">
      <c r="A122" s="112"/>
      <c r="B122" s="111"/>
      <c r="C122" s="27"/>
      <c r="D122" s="27"/>
      <c r="E122" s="106"/>
      <c r="F122" s="106"/>
      <c r="G122" s="2"/>
      <c r="H122" s="2"/>
    </row>
    <row r="123" ht="15.0" customHeight="1">
      <c r="A123" s="112"/>
      <c r="B123" s="111"/>
      <c r="C123" s="27"/>
      <c r="D123" s="27"/>
      <c r="E123" s="106"/>
      <c r="F123" s="106"/>
      <c r="G123" s="2"/>
      <c r="H123" s="2"/>
    </row>
    <row r="124" ht="15.0" customHeight="1">
      <c r="A124" s="112"/>
      <c r="B124" s="111"/>
      <c r="C124" s="27"/>
      <c r="D124" s="27"/>
      <c r="E124" s="106"/>
      <c r="F124" s="106"/>
      <c r="G124" s="2"/>
      <c r="H124" s="2"/>
    </row>
    <row r="125" ht="15.0" customHeight="1">
      <c r="A125" s="112"/>
      <c r="B125" s="111"/>
      <c r="C125" s="27"/>
      <c r="D125" s="27"/>
      <c r="E125" s="106"/>
      <c r="F125" s="106"/>
      <c r="G125" s="2"/>
      <c r="H125" s="2"/>
    </row>
    <row r="126" ht="15.0" customHeight="1">
      <c r="A126" s="112"/>
      <c r="B126" s="111"/>
      <c r="C126" s="27"/>
      <c r="D126" s="27"/>
      <c r="E126" s="106"/>
      <c r="F126" s="106"/>
      <c r="G126" s="2"/>
      <c r="H126" s="2"/>
    </row>
    <row r="127" ht="15.0" customHeight="1">
      <c r="A127" s="112"/>
      <c r="B127" s="111"/>
      <c r="C127" s="27"/>
      <c r="D127" s="27"/>
      <c r="E127" s="106"/>
      <c r="F127" s="106"/>
      <c r="G127" s="2"/>
      <c r="H127" s="2"/>
    </row>
    <row r="128" ht="15.0" customHeight="1">
      <c r="A128" s="112"/>
      <c r="B128" s="111"/>
      <c r="C128" s="27"/>
      <c r="D128" s="27"/>
      <c r="E128" s="106"/>
      <c r="F128" s="106"/>
      <c r="G128" s="2"/>
      <c r="H128" s="2"/>
    </row>
    <row r="129" ht="15.0" customHeight="1">
      <c r="A129" s="112"/>
      <c r="B129" s="111"/>
      <c r="C129" s="27"/>
      <c r="D129" s="27"/>
      <c r="E129" s="106"/>
      <c r="F129" s="106"/>
      <c r="G129" s="2"/>
      <c r="H129" s="2"/>
    </row>
    <row r="130" ht="15.0" customHeight="1">
      <c r="A130" s="112"/>
      <c r="B130" s="111"/>
      <c r="C130" s="27"/>
      <c r="D130" s="27"/>
      <c r="E130" s="106"/>
      <c r="F130" s="106"/>
      <c r="G130" s="2"/>
      <c r="H130" s="2"/>
    </row>
    <row r="131" ht="15.0" customHeight="1">
      <c r="A131" s="112"/>
      <c r="B131" s="111"/>
      <c r="C131" s="27"/>
      <c r="D131" s="27"/>
      <c r="E131" s="106"/>
      <c r="F131" s="106"/>
      <c r="G131" s="2"/>
      <c r="H131" s="2"/>
    </row>
    <row r="132" ht="15.0" customHeight="1">
      <c r="A132" s="51"/>
      <c r="B132" s="117"/>
      <c r="C132" s="108"/>
      <c r="D132" s="108"/>
      <c r="E132" s="108"/>
      <c r="F132" s="108"/>
      <c r="G132" s="2"/>
      <c r="H132" s="2"/>
    </row>
    <row r="133" ht="15.0" customHeight="1">
      <c r="A133" s="16"/>
      <c r="B133" s="2"/>
      <c r="C133" s="16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2" width="3.0"/>
    <col customWidth="1" min="3" max="3" width="26.0"/>
    <col customWidth="1" min="4" max="4" width="3.0"/>
    <col customWidth="1" min="5" max="5" width="24.0"/>
    <col customWidth="1" min="6" max="6" width="3.0"/>
    <col customWidth="1" min="7" max="7" width="22.0"/>
    <col customWidth="1" min="8" max="8" width="3.0"/>
    <col customWidth="1" min="9" max="9" width="22.0"/>
    <col customWidth="1" min="10" max="10" width="3.0"/>
    <col customWidth="1" min="11" max="11" width="18.0"/>
    <col customWidth="1" min="12" max="13" width="12.0"/>
    <col customWidth="1" min="14" max="14" width="8.0"/>
    <col customWidth="1" min="15" max="15" width="3.0"/>
    <col customWidth="1" min="16" max="16" width="30.0"/>
    <col customWidth="1" min="17" max="17" width="11.0"/>
    <col customWidth="1" min="18" max="18" width="3.0"/>
    <col customWidth="1" min="19" max="19" width="14.0"/>
    <col customWidth="1" min="20" max="20" width="3.0"/>
    <col customWidth="1" min="21" max="21" width="34.0"/>
    <col customWidth="1" min="22" max="26" width="8.71"/>
  </cols>
  <sheetData>
    <row r="1" ht="19.5" customHeight="1">
      <c r="A1" s="1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365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30.0" customHeight="1">
      <c r="A4" s="4" t="s">
        <v>366</v>
      </c>
      <c r="B4" s="2"/>
      <c r="C4" s="4" t="s">
        <v>367</v>
      </c>
      <c r="D4" s="2"/>
      <c r="E4" s="4" t="s">
        <v>368</v>
      </c>
      <c r="F4" s="2"/>
      <c r="G4" s="4" t="s">
        <v>369</v>
      </c>
      <c r="H4" s="2"/>
      <c r="I4" s="4" t="s">
        <v>48</v>
      </c>
      <c r="J4" s="2"/>
      <c r="K4" s="4" t="s">
        <v>370</v>
      </c>
      <c r="L4" s="18" t="s">
        <v>371</v>
      </c>
      <c r="M4" s="18" t="s">
        <v>372</v>
      </c>
      <c r="N4" s="18" t="s">
        <v>373</v>
      </c>
      <c r="P4" s="113" t="s">
        <v>374</v>
      </c>
      <c r="Q4" s="113" t="s">
        <v>35</v>
      </c>
      <c r="S4" s="113" t="s">
        <v>375</v>
      </c>
      <c r="U4" s="113" t="s">
        <v>376</v>
      </c>
    </row>
    <row r="5" ht="15.0" customHeight="1">
      <c r="A5" s="114" t="s">
        <v>174</v>
      </c>
      <c r="B5" s="2"/>
      <c r="C5" s="114" t="s">
        <v>72</v>
      </c>
      <c r="D5" s="2"/>
      <c r="E5" s="114" t="s">
        <v>107</v>
      </c>
      <c r="F5" s="2"/>
      <c r="G5" s="114" t="s">
        <v>135</v>
      </c>
      <c r="H5" s="2"/>
      <c r="I5" s="114" t="s">
        <v>109</v>
      </c>
      <c r="J5" s="2"/>
      <c r="K5" s="114" t="s">
        <v>377</v>
      </c>
      <c r="L5" s="115">
        <v>46300.0</v>
      </c>
      <c r="M5" s="115">
        <v>46326.0</v>
      </c>
      <c r="N5" s="116">
        <f t="shared" ref="N5:N7" si="1">M5-L5+1</f>
        <v>27</v>
      </c>
      <c r="P5" s="114" t="s">
        <v>46</v>
      </c>
      <c r="Q5" s="114" t="s">
        <v>378</v>
      </c>
      <c r="S5" s="114" t="s">
        <v>59</v>
      </c>
      <c r="U5" s="71" t="str">
        <f>IF(Listas!$C$5="","",Listas!$C$5)</f>
        <v>Hospedaje</v>
      </c>
    </row>
    <row r="6" ht="15.0" customHeight="1">
      <c r="A6" s="114" t="s">
        <v>379</v>
      </c>
      <c r="B6" s="2"/>
      <c r="C6" s="114" t="s">
        <v>110</v>
      </c>
      <c r="D6" s="2"/>
      <c r="E6" s="114" t="s">
        <v>380</v>
      </c>
      <c r="F6" s="2"/>
      <c r="G6" s="114" t="s">
        <v>106</v>
      </c>
      <c r="H6" s="2"/>
      <c r="I6" s="114" t="s">
        <v>24</v>
      </c>
      <c r="J6" s="2"/>
      <c r="K6" s="114" t="s">
        <v>381</v>
      </c>
      <c r="L6" s="115">
        <v>46327.0</v>
      </c>
      <c r="M6" s="115">
        <v>46356.0</v>
      </c>
      <c r="N6" s="116">
        <f t="shared" si="1"/>
        <v>30</v>
      </c>
      <c r="P6" s="114" t="s">
        <v>382</v>
      </c>
      <c r="Q6" s="114" t="s">
        <v>378</v>
      </c>
      <c r="S6" s="114" t="s">
        <v>22</v>
      </c>
      <c r="U6" s="71" t="str">
        <f>IF(Listas!$C$6="","",Listas!$C$6)</f>
        <v>Tours y actividades</v>
      </c>
    </row>
    <row r="7" ht="15.0" customHeight="1">
      <c r="A7" s="114" t="s">
        <v>155</v>
      </c>
      <c r="B7" s="2"/>
      <c r="C7" s="114" t="s">
        <v>94</v>
      </c>
      <c r="D7" s="2"/>
      <c r="E7" s="114" t="s">
        <v>131</v>
      </c>
      <c r="F7" s="2"/>
      <c r="G7" s="114" t="s">
        <v>14</v>
      </c>
      <c r="H7" s="2"/>
      <c r="I7" s="114" t="s">
        <v>19</v>
      </c>
      <c r="J7" s="2"/>
      <c r="K7" s="114" t="s">
        <v>383</v>
      </c>
      <c r="L7" s="115">
        <v>46357.0</v>
      </c>
      <c r="M7" s="115">
        <v>46387.0</v>
      </c>
      <c r="N7" s="116">
        <f t="shared" si="1"/>
        <v>31</v>
      </c>
      <c r="P7" s="114" t="s">
        <v>384</v>
      </c>
      <c r="Q7" s="114" t="s">
        <v>378</v>
      </c>
      <c r="U7" s="71" t="str">
        <f>IF(Listas!$C$7="","",Listas!$C$7)</f>
        <v>Alimentos y bebidas</v>
      </c>
    </row>
    <row r="8" ht="15.0" customHeight="1">
      <c r="A8" s="114" t="s">
        <v>9</v>
      </c>
      <c r="B8" s="2"/>
      <c r="C8" s="118" t="s">
        <v>54</v>
      </c>
      <c r="D8" s="2"/>
      <c r="E8" s="114" t="s">
        <v>148</v>
      </c>
      <c r="F8" s="2"/>
      <c r="G8" s="114" t="s">
        <v>73</v>
      </c>
      <c r="H8" s="2"/>
      <c r="I8" s="118" t="s">
        <v>385</v>
      </c>
      <c r="J8" s="2"/>
      <c r="K8" s="16" t="s">
        <v>295</v>
      </c>
      <c r="L8" s="2"/>
      <c r="M8" s="2"/>
      <c r="N8" s="21">
        <f>SUM(N5:N7)</f>
        <v>88</v>
      </c>
      <c r="P8" s="114" t="s">
        <v>386</v>
      </c>
      <c r="Q8" s="114" t="s">
        <v>378</v>
      </c>
      <c r="U8" s="71" t="str">
        <f>IF(Listas!$C$8="","",Listas!$C$8)</f>
        <v>Extra Guest Fee</v>
      </c>
    </row>
    <row r="9" ht="15.0" customHeight="1">
      <c r="A9" s="114" t="s">
        <v>79</v>
      </c>
      <c r="B9" s="2"/>
      <c r="C9" s="118" t="s">
        <v>102</v>
      </c>
      <c r="D9" s="2"/>
      <c r="E9" s="114" t="s">
        <v>18</v>
      </c>
      <c r="F9" s="2"/>
      <c r="G9" s="118" t="s">
        <v>97</v>
      </c>
      <c r="H9" s="2"/>
      <c r="I9" s="119" t="s">
        <v>387</v>
      </c>
      <c r="J9" s="2"/>
      <c r="K9" s="2"/>
      <c r="L9" s="2"/>
      <c r="M9" s="2"/>
      <c r="N9" s="2"/>
      <c r="P9" s="114" t="s">
        <v>10</v>
      </c>
      <c r="Q9" s="114" t="s">
        <v>11</v>
      </c>
      <c r="U9" s="71" t="str">
        <f>IF(Listas!$C$9="","",Listas!$C$9)</f>
        <v>Mascota</v>
      </c>
    </row>
    <row r="10" ht="15.0" customHeight="1">
      <c r="A10" s="114" t="s">
        <v>63</v>
      </c>
      <c r="B10" s="2"/>
      <c r="C10" s="119" t="s">
        <v>68</v>
      </c>
      <c r="D10" s="2"/>
      <c r="E10" s="114" t="s">
        <v>133</v>
      </c>
      <c r="F10" s="2"/>
      <c r="G10" s="2"/>
      <c r="H10" s="2"/>
      <c r="I10" s="2"/>
      <c r="J10" s="2"/>
      <c r="K10" s="14" t="s">
        <v>388</v>
      </c>
      <c r="L10" s="2"/>
      <c r="M10" s="2"/>
      <c r="N10" s="2"/>
      <c r="P10" s="114" t="s">
        <v>389</v>
      </c>
      <c r="Q10" s="114" t="s">
        <v>11</v>
      </c>
      <c r="U10" s="71" t="str">
        <f>IF(Listas!$A$5="","",Listas!$A$5)</f>
        <v>Nómina y salarios</v>
      </c>
    </row>
    <row r="11" ht="15.0" customHeight="1">
      <c r="A11" s="114" t="s">
        <v>94</v>
      </c>
      <c r="B11" s="2"/>
      <c r="C11" s="119" t="s">
        <v>29</v>
      </c>
      <c r="D11" s="2"/>
      <c r="E11" s="114" t="s">
        <v>80</v>
      </c>
      <c r="F11" s="2"/>
      <c r="G11" s="2"/>
      <c r="H11" s="2"/>
      <c r="I11" s="2"/>
      <c r="J11" s="2"/>
      <c r="K11" s="2"/>
      <c r="L11" s="2"/>
      <c r="M11" s="2"/>
      <c r="N11" s="2"/>
      <c r="P11" s="114" t="s">
        <v>390</v>
      </c>
      <c r="Q11" s="114" t="s">
        <v>11</v>
      </c>
      <c r="U11" s="71" t="str">
        <f>IF(Listas!$A$6="","",Listas!$A$6)</f>
        <v>Cargas sociales (CCSS/INS)</v>
      </c>
    </row>
    <row r="12" ht="15.0" customHeight="1">
      <c r="A12" s="114" t="s">
        <v>149</v>
      </c>
      <c r="B12" s="2"/>
      <c r="C12" s="2"/>
      <c r="D12" s="2"/>
      <c r="E12" s="114" t="s">
        <v>104</v>
      </c>
      <c r="F12" s="2"/>
      <c r="G12" s="2"/>
      <c r="H12" s="2"/>
      <c r="I12" s="2"/>
      <c r="J12" s="2"/>
      <c r="K12" s="2"/>
      <c r="L12" s="2"/>
      <c r="M12" s="2"/>
      <c r="N12" s="2"/>
      <c r="P12" s="114" t="s">
        <v>391</v>
      </c>
      <c r="Q12" s="114" t="s">
        <v>11</v>
      </c>
      <c r="U12" s="71" t="str">
        <f>IF(Listas!$A$7="","",Listas!$A$7)</f>
        <v>Servicios públicos e internet</v>
      </c>
    </row>
    <row r="13" ht="15.0" customHeight="1">
      <c r="A13" s="114" t="s">
        <v>392</v>
      </c>
      <c r="B13" s="2"/>
      <c r="C13" s="2"/>
      <c r="D13" s="2"/>
      <c r="E13" s="114" t="s">
        <v>165</v>
      </c>
      <c r="F13" s="2"/>
      <c r="G13" s="2"/>
      <c r="H13" s="2"/>
      <c r="I13" s="2"/>
      <c r="J13" s="2"/>
      <c r="K13" s="2"/>
      <c r="L13" s="2"/>
      <c r="M13" s="2"/>
      <c r="N13" s="2"/>
      <c r="U13" s="71" t="str">
        <f>IF(Listas!$A$8="","",Listas!$A$8)</f>
        <v>Mantenimiento y reparaciones</v>
      </c>
    </row>
    <row r="14" ht="15.0" customHeight="1">
      <c r="A14" s="114" t="s">
        <v>393</v>
      </c>
      <c r="B14" s="2"/>
      <c r="C14" s="2"/>
      <c r="D14" s="2"/>
      <c r="E14" s="114" t="s">
        <v>159</v>
      </c>
      <c r="F14" s="2"/>
      <c r="G14" s="2"/>
      <c r="H14" s="2"/>
      <c r="I14" s="2"/>
      <c r="J14" s="2"/>
      <c r="K14" s="2"/>
      <c r="L14" s="2"/>
      <c r="M14" s="2"/>
      <c r="N14" s="2"/>
      <c r="U14" s="71" t="str">
        <f>IF(Listas!$A$9="","",Listas!$A$9)</f>
        <v>Limpieza y lavandería</v>
      </c>
    </row>
    <row r="15" ht="15.0" customHeight="1">
      <c r="A15" s="114" t="s">
        <v>394</v>
      </c>
      <c r="B15" s="2"/>
      <c r="C15" s="2"/>
      <c r="D15" s="2"/>
      <c r="E15" s="114" t="s">
        <v>114</v>
      </c>
      <c r="F15" s="2"/>
      <c r="G15" s="2"/>
      <c r="H15" s="2"/>
      <c r="I15" s="2"/>
      <c r="J15" s="2"/>
      <c r="K15" s="2"/>
      <c r="L15" s="2"/>
      <c r="M15" s="2"/>
      <c r="N15" s="2"/>
      <c r="U15" s="71" t="str">
        <f>IF(Listas!$A$10="","",Listas!$A$10)</f>
        <v>Suministros y amenities</v>
      </c>
    </row>
    <row r="16" ht="15.0" customHeight="1">
      <c r="A16" s="114" t="s">
        <v>395</v>
      </c>
      <c r="B16" s="2"/>
      <c r="C16" s="2"/>
      <c r="D16" s="2"/>
      <c r="E16" s="114" t="s">
        <v>86</v>
      </c>
      <c r="F16" s="2"/>
      <c r="G16" s="2"/>
      <c r="H16" s="2"/>
      <c r="I16" s="2"/>
      <c r="J16" s="2"/>
      <c r="K16" s="2"/>
      <c r="L16" s="2"/>
      <c r="M16" s="2"/>
      <c r="N16" s="2"/>
      <c r="U16" s="71" t="str">
        <f>IF(Listas!$A$11="","",Listas!$A$11)</f>
        <v>Alimentos y bebidas</v>
      </c>
    </row>
    <row r="17" ht="15.0" customHeight="1">
      <c r="A17" s="114" t="s">
        <v>82</v>
      </c>
      <c r="B17" s="2"/>
      <c r="C17" s="2"/>
      <c r="D17" s="2"/>
      <c r="E17" s="114" t="s">
        <v>122</v>
      </c>
      <c r="F17" s="2"/>
      <c r="G17" s="2"/>
      <c r="H17" s="2"/>
      <c r="I17" s="2"/>
      <c r="J17" s="2"/>
      <c r="K17" s="2"/>
      <c r="L17" s="2"/>
      <c r="M17" s="2"/>
      <c r="N17" s="2"/>
      <c r="U17" s="71" t="str">
        <f>IF(Listas!$A$12="","",Listas!$A$12)</f>
        <v>Comisiones de plataformas</v>
      </c>
    </row>
    <row r="18" ht="15.0" customHeight="1">
      <c r="A18" s="114" t="s">
        <v>16</v>
      </c>
      <c r="B18" s="2"/>
      <c r="C18" s="2"/>
      <c r="D18" s="2"/>
      <c r="E18" s="114" t="s">
        <v>100</v>
      </c>
      <c r="F18" s="2"/>
      <c r="G18" s="2"/>
      <c r="H18" s="2"/>
      <c r="I18" s="2"/>
      <c r="J18" s="2"/>
      <c r="K18" s="2"/>
      <c r="L18" s="2"/>
      <c r="M18" s="2"/>
      <c r="N18" s="2"/>
      <c r="U18" s="71" t="str">
        <f>IF(Listas!$A$13="","",Listas!$A$13)</f>
        <v>Marketing y publicidad</v>
      </c>
    </row>
    <row r="19" ht="15.0" customHeight="1">
      <c r="A19" s="114" t="s">
        <v>69</v>
      </c>
      <c r="B19" s="2"/>
      <c r="C19" s="2"/>
      <c r="D19" s="2"/>
      <c r="E19" s="119" t="s">
        <v>55</v>
      </c>
      <c r="F19" s="2"/>
      <c r="G19" s="2"/>
      <c r="H19" s="2"/>
      <c r="I19" s="2"/>
      <c r="J19" s="2"/>
      <c r="K19" s="2"/>
      <c r="L19" s="2"/>
      <c r="M19" s="2"/>
      <c r="N19" s="2"/>
      <c r="U19" s="71" t="str">
        <f>IF(Listas!$A$14="","",Listas!$A$14)</f>
        <v>Costo de tours y actividades</v>
      </c>
    </row>
    <row r="20" ht="15.0" customHeight="1">
      <c r="A20" s="114" t="s">
        <v>88</v>
      </c>
      <c r="B20" s="2"/>
      <c r="C20" s="2"/>
      <c r="D20" s="2"/>
      <c r="E20" s="119" t="s">
        <v>136</v>
      </c>
      <c r="F20" s="2"/>
      <c r="G20" s="2"/>
      <c r="H20" s="2"/>
      <c r="I20" s="2"/>
      <c r="J20" s="2"/>
      <c r="K20" s="2"/>
      <c r="L20" s="2"/>
      <c r="M20" s="2"/>
      <c r="N20" s="2"/>
      <c r="U20" s="71" t="str">
        <f>IF(Listas!$A$15="","",Listas!$A$15)</f>
        <v>Seguros</v>
      </c>
    </row>
    <row r="21" ht="15.75" customHeight="1">
      <c r="A21" s="119" t="s">
        <v>76</v>
      </c>
      <c r="B21" s="2"/>
      <c r="C21" s="2"/>
      <c r="D21" s="2"/>
      <c r="E21" s="119" t="s">
        <v>169</v>
      </c>
      <c r="F21" s="2"/>
      <c r="G21" s="2"/>
      <c r="H21" s="2"/>
      <c r="I21" s="2"/>
      <c r="J21" s="2"/>
      <c r="K21" s="2"/>
      <c r="L21" s="2"/>
      <c r="M21" s="2"/>
      <c r="N21" s="2"/>
      <c r="U21" s="71" t="str">
        <f>IF(Listas!$A$16="","",Listas!$A$16)</f>
        <v>Impuestos y patentes</v>
      </c>
    </row>
    <row r="22" ht="15.75" customHeight="1">
      <c r="A22" s="2"/>
      <c r="B22" s="2"/>
      <c r="C22" s="2"/>
      <c r="D22" s="2"/>
      <c r="E22" s="119" t="s">
        <v>183</v>
      </c>
      <c r="F22" s="2"/>
      <c r="G22" s="2"/>
      <c r="H22" s="2"/>
      <c r="I22" s="2"/>
      <c r="J22" s="2"/>
      <c r="K22" s="2"/>
      <c r="L22" s="2"/>
      <c r="M22" s="2"/>
      <c r="N22" s="2"/>
      <c r="U22" s="71" t="str">
        <f>IF(Listas!$A$17="","",Listas!$A$17)</f>
        <v>Combustible y transporte</v>
      </c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U23" s="71" t="str">
        <f>IF(Listas!$A$18="","",Listas!$A$18)</f>
        <v>Jardinería y piscinas</v>
      </c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U24" s="71" t="str">
        <f>IF(Listas!$A$19="","",Listas!$A$19)</f>
        <v>Software y tecnología</v>
      </c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U25" s="71" t="str">
        <f>IF(Listas!$A$20="","",Listas!$A$20)</f>
        <v>Imprevistos y otros</v>
      </c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U26" s="114" t="s">
        <v>396</v>
      </c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P28" s="82" t="s">
        <v>397</v>
      </c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2026-09-28T21:27:00Z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